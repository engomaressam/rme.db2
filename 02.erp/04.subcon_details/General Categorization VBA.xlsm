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M:\RME-USB\Project Control\Cash\Reinnovation\"/>
    </mc:Choice>
  </mc:AlternateContent>
  <xr:revisionPtr revIDLastSave="0" documentId="13_ncr:1_{F102AE36-1EB5-4A85-9D91-314B28850C09}" xr6:coauthVersionLast="47" xr6:coauthVersionMax="47" xr10:uidLastSave="{00000000-0000-0000-0000-000000000000}"/>
  <bookViews>
    <workbookView xWindow="-120" yWindow="-120" windowWidth="20730" windowHeight="11160" activeTab="2" xr2:uid="{DF4380CF-C335-4A0A-9E43-E66C60795996}"/>
  </bookViews>
  <sheets>
    <sheet name="Master Data Oricale" sheetId="8" r:id="rId1"/>
    <sheet name="For Planned" sheetId="10" r:id="rId2"/>
    <sheet name="Interface" sheetId="3" r:id="rId3"/>
    <sheet name="For Collection" sheetId="6" r:id="rId4"/>
    <sheet name="General Categroization" sheetId="1" r:id="rId5"/>
    <sheet name="Summary" sheetId="4" r:id="rId6"/>
    <sheet name="Clients" sheetId="7" r:id="rId7"/>
  </sheets>
  <functionGroups builtInGroupCount="19"/>
  <externalReferences>
    <externalReference r:id="rId8"/>
  </externalReferences>
  <definedNames>
    <definedName name="_" localSheetId="0">#REF!</definedName>
    <definedName name="_">#REF!</definedName>
    <definedName name="_xlnm._FilterDatabase" localSheetId="0" hidden="1">'Master Data Oricale'!$A$1:$G$123</definedName>
    <definedName name="Cash_Categories">[1]!Table1[Our Categorization]</definedName>
  </definedNames>
  <calcPr calcId="191029"/>
  <pivotCaches>
    <pivotCache cacheId="7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3" i="3" l="1" a="1"/>
  <c r="B25" i="3" a="1"/>
  <c r="B27" i="3" a="1"/>
  <c r="B29" i="3" a="1"/>
  <c r="B31" i="3" a="1"/>
  <c r="B24" i="3" a="1"/>
  <c r="B26" i="3" a="1"/>
  <c r="B28" i="3" a="1"/>
  <c r="B30" i="3" a="1"/>
  <c r="G1139" i="10" a="1"/>
  <c r="G1141" i="10" a="1"/>
  <c r="G1143" i="10" a="1"/>
  <c r="G1145" i="10" a="1"/>
  <c r="G1147" i="10" a="1"/>
  <c r="G1149" i="10" a="1"/>
  <c r="G1151" i="10" a="1"/>
  <c r="G1153" i="10" a="1"/>
  <c r="G1155" i="10" a="1"/>
  <c r="G1157" i="10" a="1"/>
  <c r="G1159" i="10" a="1"/>
  <c r="G1161" i="10" a="1"/>
  <c r="G1163" i="10" a="1"/>
  <c r="G1165" i="10" a="1"/>
  <c r="G1167" i="10" a="1"/>
  <c r="G1169" i="10" a="1"/>
  <c r="G1171" i="10" a="1"/>
  <c r="G1173" i="10" a="1"/>
  <c r="G1175" i="10" a="1"/>
  <c r="G1177" i="10" a="1"/>
  <c r="G1179" i="10" a="1"/>
  <c r="G1181" i="10" a="1"/>
  <c r="G1183" i="10" a="1"/>
  <c r="G1185" i="10" a="1"/>
  <c r="G1187" i="10" a="1"/>
  <c r="G1168" i="10" a="1"/>
  <c r="G1174" i="10" a="1"/>
  <c r="G1178" i="10" a="1"/>
  <c r="G1182" i="10" a="1"/>
  <c r="G1184" i="10" a="1"/>
  <c r="G1140" i="10" a="1"/>
  <c r="G1142" i="10" a="1"/>
  <c r="G1144" i="10" a="1"/>
  <c r="G1146" i="10" a="1"/>
  <c r="G1148" i="10" a="1"/>
  <c r="G1150" i="10" a="1"/>
  <c r="G1152" i="10" a="1"/>
  <c r="G1154" i="10" a="1"/>
  <c r="G1156" i="10" a="1"/>
  <c r="G1158" i="10" a="1"/>
  <c r="G1160" i="10" a="1"/>
  <c r="G1162" i="10" a="1"/>
  <c r="G1164" i="10" a="1"/>
  <c r="G1166" i="10" a="1"/>
  <c r="G1170" i="10" a="1"/>
  <c r="G1172" i="10" a="1"/>
  <c r="G1176" i="10" a="1"/>
  <c r="G1180" i="10" a="1"/>
  <c r="G1186" i="10" a="1"/>
  <c r="G629" i="10" a="1"/>
  <c r="G631" i="10" a="1"/>
  <c r="G633" i="10" a="1"/>
  <c r="G635" i="10" a="1"/>
  <c r="G637" i="10" a="1"/>
  <c r="G639" i="10" a="1"/>
  <c r="G641" i="10" a="1"/>
  <c r="G643" i="10" a="1"/>
  <c r="G645" i="10" a="1"/>
  <c r="G647" i="10" a="1"/>
  <c r="G649" i="10" a="1"/>
  <c r="G651" i="10" a="1"/>
  <c r="G653" i="10" a="1"/>
  <c r="G655" i="10" a="1"/>
  <c r="G657" i="10" a="1"/>
  <c r="G659" i="10" a="1"/>
  <c r="G630" i="10" a="1"/>
  <c r="G632" i="10" a="1"/>
  <c r="G634" i="10" a="1"/>
  <c r="G636" i="10" a="1"/>
  <c r="G638" i="10" a="1"/>
  <c r="G640" i="10" a="1"/>
  <c r="G642" i="10" a="1"/>
  <c r="G644" i="10" a="1"/>
  <c r="G646" i="10" a="1"/>
  <c r="G648" i="10" a="1"/>
  <c r="G650" i="10" a="1"/>
  <c r="G652" i="10" a="1"/>
  <c r="G654" i="10" a="1"/>
  <c r="G656" i="10" a="1"/>
  <c r="G660" i="10" a="1"/>
  <c r="G665" i="10" a="1"/>
  <c r="G668" i="10" a="1"/>
  <c r="G673" i="10" a="1"/>
  <c r="G676" i="10" a="1"/>
  <c r="G681" i="10" a="1"/>
  <c r="G684" i="10" a="1"/>
  <c r="G689" i="10" a="1"/>
  <c r="G692" i="10" a="1"/>
  <c r="G697" i="10" a="1"/>
  <c r="G700" i="10" a="1"/>
  <c r="G705" i="10" a="1"/>
  <c r="G708" i="10" a="1"/>
  <c r="G713" i="10" a="1"/>
  <c r="G716" i="10" a="1"/>
  <c r="G721" i="10" a="1"/>
  <c r="G724" i="10" a="1"/>
  <c r="G729" i="10" a="1"/>
  <c r="G732" i="10" a="1"/>
  <c r="G737" i="10" a="1"/>
  <c r="G740" i="10" a="1"/>
  <c r="G745" i="10" a="1"/>
  <c r="G748" i="10" a="1"/>
  <c r="G753" i="10" a="1"/>
  <c r="G756" i="10" a="1"/>
  <c r="G761" i="10" a="1"/>
  <c r="G764" i="10" a="1"/>
  <c r="G769" i="10" a="1"/>
  <c r="G772" i="10" a="1"/>
  <c r="G777" i="10" a="1"/>
  <c r="G780" i="10" a="1"/>
  <c r="G785" i="10" a="1"/>
  <c r="G788" i="10" a="1"/>
  <c r="G793" i="10" a="1"/>
  <c r="G796" i="10" a="1"/>
  <c r="G663" i="10" a="1"/>
  <c r="G666" i="10" a="1"/>
  <c r="G671" i="10" a="1"/>
  <c r="G674" i="10" a="1"/>
  <c r="G679" i="10" a="1"/>
  <c r="G682" i="10" a="1"/>
  <c r="G687" i="10" a="1"/>
  <c r="G690" i="10" a="1"/>
  <c r="G695" i="10" a="1"/>
  <c r="G698" i="10" a="1"/>
  <c r="G703" i="10" a="1"/>
  <c r="G706" i="10" a="1"/>
  <c r="G711" i="10" a="1"/>
  <c r="G714" i="10" a="1"/>
  <c r="G719" i="10" a="1"/>
  <c r="G722" i="10" a="1"/>
  <c r="G727" i="10" a="1"/>
  <c r="G730" i="10" a="1"/>
  <c r="G735" i="10" a="1"/>
  <c r="G738" i="10" a="1"/>
  <c r="G743" i="10" a="1"/>
  <c r="G746" i="10" a="1"/>
  <c r="G751" i="10" a="1"/>
  <c r="G754" i="10" a="1"/>
  <c r="G759" i="10" a="1"/>
  <c r="G762" i="10" a="1"/>
  <c r="G767" i="10" a="1"/>
  <c r="G770" i="10" a="1"/>
  <c r="G775" i="10" a="1"/>
  <c r="G778" i="10" a="1"/>
  <c r="G783" i="10" a="1"/>
  <c r="G786" i="10" a="1"/>
  <c r="G791" i="10" a="1"/>
  <c r="G794" i="10" a="1"/>
  <c r="G799" i="10" a="1"/>
  <c r="G801" i="10" a="1"/>
  <c r="G803" i="10" a="1"/>
  <c r="G805" i="10" a="1"/>
  <c r="G807" i="10" a="1"/>
  <c r="G809" i="10" a="1"/>
  <c r="G811" i="10" a="1"/>
  <c r="G813" i="10" a="1"/>
  <c r="G815" i="10" a="1"/>
  <c r="G817" i="10" a="1"/>
  <c r="G819" i="10" a="1"/>
  <c r="G821" i="10" a="1"/>
  <c r="G658" i="10" a="1"/>
  <c r="G661" i="10" a="1"/>
  <c r="G664" i="10" a="1"/>
  <c r="G669" i="10" a="1"/>
  <c r="G672" i="10" a="1"/>
  <c r="G677" i="10" a="1"/>
  <c r="G680" i="10" a="1"/>
  <c r="G685" i="10" a="1"/>
  <c r="G688" i="10" a="1"/>
  <c r="G693" i="10" a="1"/>
  <c r="G696" i="10" a="1"/>
  <c r="G701" i="10" a="1"/>
  <c r="G704" i="10" a="1"/>
  <c r="G709" i="10" a="1"/>
  <c r="G712" i="10" a="1"/>
  <c r="G717" i="10" a="1"/>
  <c r="G720" i="10" a="1"/>
  <c r="G725" i="10" a="1"/>
  <c r="G728" i="10" a="1"/>
  <c r="G733" i="10" a="1"/>
  <c r="G736" i="10" a="1"/>
  <c r="G741" i="10" a="1"/>
  <c r="G744" i="10" a="1"/>
  <c r="G749" i="10" a="1"/>
  <c r="G752" i="10" a="1"/>
  <c r="G757" i="10" a="1"/>
  <c r="G760" i="10" a="1"/>
  <c r="G765" i="10" a="1"/>
  <c r="G768" i="10" a="1"/>
  <c r="G773" i="10" a="1"/>
  <c r="G776" i="10" a="1"/>
  <c r="G781" i="10" a="1"/>
  <c r="G784" i="10" a="1"/>
  <c r="G789" i="10" a="1"/>
  <c r="G792" i="10" a="1"/>
  <c r="G797" i="10" a="1"/>
  <c r="G662" i="10" a="1"/>
  <c r="G683" i="10" a="1"/>
  <c r="G694" i="10" a="1"/>
  <c r="G715" i="10" a="1"/>
  <c r="G726" i="10" a="1"/>
  <c r="G747" i="10" a="1"/>
  <c r="G758" i="10" a="1"/>
  <c r="G779" i="10" a="1"/>
  <c r="G790" i="10" a="1"/>
  <c r="G800" i="10" a="1"/>
  <c r="G808" i="10" a="1"/>
  <c r="G816" i="10" a="1"/>
  <c r="G823" i="10" a="1"/>
  <c r="G827" i="10" a="1"/>
  <c r="G831" i="10" a="1"/>
  <c r="G835" i="10" a="1"/>
  <c r="G839" i="10" a="1"/>
  <c r="G843" i="10" a="1"/>
  <c r="G847" i="10" a="1"/>
  <c r="G851" i="10" a="1"/>
  <c r="G855" i="10" a="1"/>
  <c r="G859" i="10" a="1"/>
  <c r="G863" i="10" a="1"/>
  <c r="G867" i="10" a="1"/>
  <c r="G871" i="10" a="1"/>
  <c r="G874" i="10" a="1"/>
  <c r="G877" i="10" a="1"/>
  <c r="G675" i="10" a="1"/>
  <c r="G686" i="10" a="1"/>
  <c r="G707" i="10" a="1"/>
  <c r="G718" i="10" a="1"/>
  <c r="G739" i="10" a="1"/>
  <c r="G750" i="10" a="1"/>
  <c r="G771" i="10" a="1"/>
  <c r="G782" i="10" a="1"/>
  <c r="G802" i="10" a="1"/>
  <c r="G810" i="10" a="1"/>
  <c r="G818" i="10" a="1"/>
  <c r="G824" i="10" a="1"/>
  <c r="G828" i="10" a="1"/>
  <c r="G832" i="10" a="1"/>
  <c r="G836" i="10" a="1"/>
  <c r="G840" i="10" a="1"/>
  <c r="G844" i="10" a="1"/>
  <c r="G848" i="10" a="1"/>
  <c r="G852" i="10" a="1"/>
  <c r="G856" i="10" a="1"/>
  <c r="G860" i="10" a="1"/>
  <c r="G864" i="10" a="1"/>
  <c r="G868" i="10" a="1"/>
  <c r="G872" i="10" a="1"/>
  <c r="G875" i="10" a="1"/>
  <c r="G880" i="10" a="1"/>
  <c r="G882" i="10" a="1"/>
  <c r="G884" i="10" a="1"/>
  <c r="G886" i="10" a="1"/>
  <c r="G888" i="10" a="1"/>
  <c r="G890" i="10" a="1"/>
  <c r="G892" i="10" a="1"/>
  <c r="G894" i="10" a="1"/>
  <c r="G896" i="10" a="1"/>
  <c r="G898" i="10" a="1"/>
  <c r="G900" i="10" a="1"/>
  <c r="G902" i="10" a="1"/>
  <c r="G904" i="10" a="1"/>
  <c r="G906" i="10" a="1"/>
  <c r="G908" i="10" a="1"/>
  <c r="G910" i="10" a="1"/>
  <c r="G667" i="10" a="1"/>
  <c r="G678" i="10" a="1"/>
  <c r="G699" i="10" a="1"/>
  <c r="G710" i="10" a="1"/>
  <c r="G731" i="10" a="1"/>
  <c r="G742" i="10" a="1"/>
  <c r="G763" i="10" a="1"/>
  <c r="G774" i="10" a="1"/>
  <c r="G795" i="10" a="1"/>
  <c r="G804" i="10" a="1"/>
  <c r="G812" i="10" a="1"/>
  <c r="G820" i="10" a="1"/>
  <c r="G825" i="10" a="1"/>
  <c r="G829" i="10" a="1"/>
  <c r="G833" i="10" a="1"/>
  <c r="G837" i="10" a="1"/>
  <c r="G841" i="10" a="1"/>
  <c r="G845" i="10" a="1"/>
  <c r="G849" i="10" a="1"/>
  <c r="G853" i="10" a="1"/>
  <c r="G857" i="10" a="1"/>
  <c r="G861" i="10" a="1"/>
  <c r="G865" i="10" a="1"/>
  <c r="G869" i="10" a="1"/>
  <c r="G873" i="10" a="1"/>
  <c r="G878" i="10" a="1"/>
  <c r="G702" i="10" a="1"/>
  <c r="G787" i="10" a="1"/>
  <c r="G822" i="10" a="1"/>
  <c r="G838" i="10" a="1"/>
  <c r="G854" i="10" a="1"/>
  <c r="G870" i="10" a="1"/>
  <c r="G881" i="10" a="1"/>
  <c r="G889" i="10" a="1"/>
  <c r="G897" i="10" a="1"/>
  <c r="G905" i="10" a="1"/>
  <c r="G912" i="10" a="1"/>
  <c r="G916" i="10" a="1"/>
  <c r="G920" i="10" a="1"/>
  <c r="G924" i="10" a="1"/>
  <c r="G928" i="10" a="1"/>
  <c r="G932" i="10" a="1"/>
  <c r="G936" i="10" a="1"/>
  <c r="G940" i="10" a="1"/>
  <c r="G944" i="10" a="1"/>
  <c r="G948" i="10" a="1"/>
  <c r="G952" i="10" a="1"/>
  <c r="G956" i="10" a="1"/>
  <c r="G960" i="10" a="1"/>
  <c r="G964" i="10" a="1"/>
  <c r="G968" i="10" a="1"/>
  <c r="G972" i="10" a="1"/>
  <c r="G976" i="10" a="1"/>
  <c r="G980" i="10" a="1"/>
  <c r="G984" i="10" a="1"/>
  <c r="G988" i="10" a="1"/>
  <c r="G992" i="10" a="1"/>
  <c r="G996" i="10" a="1"/>
  <c r="G1000" i="10" a="1"/>
  <c r="G1004" i="10" a="1"/>
  <c r="G1006" i="10" a="1"/>
  <c r="G1008" i="10" a="1"/>
  <c r="G1010" i="10" a="1"/>
  <c r="G1012" i="10" a="1"/>
  <c r="G1014" i="10" a="1"/>
  <c r="G1016" i="10" a="1"/>
  <c r="G1018" i="10" a="1"/>
  <c r="G1020" i="10" a="1"/>
  <c r="G1022" i="10" a="1"/>
  <c r="G1024" i="10" a="1"/>
  <c r="G1026" i="10" a="1"/>
  <c r="G1028" i="10" a="1"/>
  <c r="G1030" i="10" a="1"/>
  <c r="G1032" i="10" a="1"/>
  <c r="G1034" i="10" a="1"/>
  <c r="G1036" i="10" a="1"/>
  <c r="G1038" i="10" a="1"/>
  <c r="G1040" i="10" a="1"/>
  <c r="G1042" i="10" a="1"/>
  <c r="G1044" i="10" a="1"/>
  <c r="G1046" i="10" a="1"/>
  <c r="G1048" i="10" a="1"/>
  <c r="G1050" i="10" a="1"/>
  <c r="G1052" i="10" a="1"/>
  <c r="G1054" i="10" a="1"/>
  <c r="G1056" i="10" a="1"/>
  <c r="G1058" i="10" a="1"/>
  <c r="G1060" i="10" a="1"/>
  <c r="G1062" i="10" a="1"/>
  <c r="G1064" i="10" a="1"/>
  <c r="G1066" i="10" a="1"/>
  <c r="G1068" i="10" a="1"/>
  <c r="G1070" i="10" a="1"/>
  <c r="G1072" i="10" a="1"/>
  <c r="G1074" i="10" a="1"/>
  <c r="G1076" i="10" a="1"/>
  <c r="G1078" i="10" a="1"/>
  <c r="G1080" i="10" a="1"/>
  <c r="G1082" i="10" a="1"/>
  <c r="G1084" i="10" a="1"/>
  <c r="G1086" i="10" a="1"/>
  <c r="G1088" i="10" a="1"/>
  <c r="G1090" i="10" a="1"/>
  <c r="G1092" i="10" a="1"/>
  <c r="G1094" i="10" a="1"/>
  <c r="G1096" i="10" a="1"/>
  <c r="G1098" i="10" a="1"/>
  <c r="G1100" i="10" a="1"/>
  <c r="G1102" i="10" a="1"/>
  <c r="G1104" i="10" a="1"/>
  <c r="G1106" i="10" a="1"/>
  <c r="G1108" i="10" a="1"/>
  <c r="G1110" i="10" a="1"/>
  <c r="G1112" i="10" a="1"/>
  <c r="G1114" i="10" a="1"/>
  <c r="G1116" i="10" a="1"/>
  <c r="G1118" i="10" a="1"/>
  <c r="G1120" i="10" a="1"/>
  <c r="G1122" i="10" a="1"/>
  <c r="G1124" i="10" a="1"/>
  <c r="G1126" i="10" a="1"/>
  <c r="G1128" i="10" a="1"/>
  <c r="G1130" i="10" a="1"/>
  <c r="G1132" i="10" a="1"/>
  <c r="G1134" i="10" a="1"/>
  <c r="G1136" i="10" a="1"/>
  <c r="G1138" i="10" a="1"/>
  <c r="G670" i="10" a="1"/>
  <c r="G755" i="10" a="1"/>
  <c r="G798" i="10" a="1"/>
  <c r="G826" i="10" a="1"/>
  <c r="G842" i="10" a="1"/>
  <c r="G858" i="10" a="1"/>
  <c r="G883" i="10" a="1"/>
  <c r="G891" i="10" a="1"/>
  <c r="G899" i="10" a="1"/>
  <c r="G907" i="10" a="1"/>
  <c r="G913" i="10" a="1"/>
  <c r="G917" i="10" a="1"/>
  <c r="G921" i="10" a="1"/>
  <c r="G925" i="10" a="1"/>
  <c r="G929" i="10" a="1"/>
  <c r="G933" i="10" a="1"/>
  <c r="G937" i="10" a="1"/>
  <c r="G941" i="10" a="1"/>
  <c r="G945" i="10" a="1"/>
  <c r="G949" i="10" a="1"/>
  <c r="G953" i="10" a="1"/>
  <c r="G957" i="10" a="1"/>
  <c r="G961" i="10" a="1"/>
  <c r="G965" i="10" a="1"/>
  <c r="G969" i="10" a="1"/>
  <c r="G973" i="10" a="1"/>
  <c r="G977" i="10" a="1"/>
  <c r="G981" i="10" a="1"/>
  <c r="G985" i="10" a="1"/>
  <c r="G989" i="10" a="1"/>
  <c r="G993" i="10" a="1"/>
  <c r="G997" i="10" a="1"/>
  <c r="G1001" i="10" a="1"/>
  <c r="G723" i="10" a="1"/>
  <c r="G766" i="10" a="1"/>
  <c r="G806" i="10" a="1"/>
  <c r="G830" i="10" a="1"/>
  <c r="G846" i="10" a="1"/>
  <c r="G862" i="10" a="1"/>
  <c r="G876" i="10" a="1"/>
  <c r="G885" i="10" a="1"/>
  <c r="G893" i="10" a="1"/>
  <c r="G901" i="10" a="1"/>
  <c r="G909" i="10" a="1"/>
  <c r="G914" i="10" a="1"/>
  <c r="G918" i="10" a="1"/>
  <c r="G922" i="10" a="1"/>
  <c r="G926" i="10" a="1"/>
  <c r="G930" i="10" a="1"/>
  <c r="G934" i="10" a="1"/>
  <c r="G938" i="10" a="1"/>
  <c r="G942" i="10" a="1"/>
  <c r="G946" i="10" a="1"/>
  <c r="G950" i="10" a="1"/>
  <c r="G954" i="10" a="1"/>
  <c r="G958" i="10" a="1"/>
  <c r="G962" i="10" a="1"/>
  <c r="G966" i="10" a="1"/>
  <c r="G970" i="10" a="1"/>
  <c r="G974" i="10" a="1"/>
  <c r="G978" i="10" a="1"/>
  <c r="G982" i="10" a="1"/>
  <c r="G986" i="10" a="1"/>
  <c r="G990" i="10" a="1"/>
  <c r="G994" i="10" a="1"/>
  <c r="G998" i="10" a="1"/>
  <c r="G1002" i="10" a="1"/>
  <c r="G1005" i="10" a="1"/>
  <c r="G1007" i="10" a="1"/>
  <c r="G1009" i="10" a="1"/>
  <c r="G1011" i="10" a="1"/>
  <c r="G1013" i="10" a="1"/>
  <c r="G1015" i="10" a="1"/>
  <c r="G1017" i="10" a="1"/>
  <c r="G1019" i="10" a="1"/>
  <c r="G1021" i="10" a="1"/>
  <c r="G1023" i="10" a="1"/>
  <c r="G1025" i="10" a="1"/>
  <c r="G1027" i="10" a="1"/>
  <c r="G1029" i="10" a="1"/>
  <c r="G1031" i="10" a="1"/>
  <c r="G1033" i="10" a="1"/>
  <c r="G1035" i="10" a="1"/>
  <c r="G1037" i="10" a="1"/>
  <c r="G1039" i="10" a="1"/>
  <c r="G1041" i="10" a="1"/>
  <c r="G1043" i="10" a="1"/>
  <c r="G1045" i="10" a="1"/>
  <c r="G1047" i="10" a="1"/>
  <c r="G1049" i="10" a="1"/>
  <c r="G1051" i="10" a="1"/>
  <c r="G1053" i="10" a="1"/>
  <c r="G1055" i="10" a="1"/>
  <c r="G1057" i="10" a="1"/>
  <c r="G1059" i="10" a="1"/>
  <c r="G1061" i="10" a="1"/>
  <c r="G1063" i="10" a="1"/>
  <c r="G1065" i="10" a="1"/>
  <c r="G1067" i="10" a="1"/>
  <c r="G1069" i="10" a="1"/>
  <c r="G1071" i="10" a="1"/>
  <c r="G1073" i="10" a="1"/>
  <c r="G1075" i="10" a="1"/>
  <c r="G1077" i="10" a="1"/>
  <c r="G1079" i="10" a="1"/>
  <c r="G1081" i="10" a="1"/>
  <c r="G1083" i="10" a="1"/>
  <c r="G1085" i="10" a="1"/>
  <c r="G1087" i="10" a="1"/>
  <c r="G1089" i="10" a="1"/>
  <c r="G1091" i="10" a="1"/>
  <c r="G1093" i="10" a="1"/>
  <c r="G1095" i="10" a="1"/>
  <c r="G1097" i="10" a="1"/>
  <c r="G1099" i="10" a="1"/>
  <c r="G1101" i="10" a="1"/>
  <c r="G1103" i="10" a="1"/>
  <c r="G1105" i="10" a="1"/>
  <c r="G1107" i="10" a="1"/>
  <c r="G1109" i="10" a="1"/>
  <c r="G1111" i="10" a="1"/>
  <c r="G1113" i="10" a="1"/>
  <c r="G1115" i="10" a="1"/>
  <c r="G1117" i="10" a="1"/>
  <c r="G1119" i="10" a="1"/>
  <c r="G1121" i="10" a="1"/>
  <c r="G1123" i="10" a="1"/>
  <c r="G1125" i="10" a="1"/>
  <c r="G1127" i="10" a="1"/>
  <c r="G1129" i="10" a="1"/>
  <c r="G1131" i="10" a="1"/>
  <c r="G1133" i="10" a="1"/>
  <c r="G1135" i="10" a="1"/>
  <c r="G1137" i="10" a="1"/>
  <c r="G691" i="10" a="1"/>
  <c r="G834" i="10" a="1"/>
  <c r="G887" i="10" a="1"/>
  <c r="G915" i="10" a="1"/>
  <c r="G931" i="10" a="1"/>
  <c r="G947" i="10" a="1"/>
  <c r="G963" i="10" a="1"/>
  <c r="G979" i="10" a="1"/>
  <c r="G995" i="10" a="1"/>
  <c r="G734" i="10" a="1"/>
  <c r="G850" i="10" a="1"/>
  <c r="G895" i="10" a="1"/>
  <c r="G919" i="10" a="1"/>
  <c r="G935" i="10" a="1"/>
  <c r="G951" i="10" a="1"/>
  <c r="G967" i="10" a="1"/>
  <c r="G983" i="10" a="1"/>
  <c r="G999" i="10" a="1"/>
  <c r="G866" i="10" a="1"/>
  <c r="G903" i="10" a="1"/>
  <c r="G923" i="10" a="1"/>
  <c r="G939" i="10" a="1"/>
  <c r="G955" i="10" a="1"/>
  <c r="G971" i="10" a="1"/>
  <c r="G987" i="10" a="1"/>
  <c r="G1003" i="10" a="1"/>
  <c r="G814" i="10" a="1"/>
  <c r="G943" i="10" a="1"/>
  <c r="G879" i="10" a="1"/>
  <c r="G959" i="10" a="1"/>
  <c r="G911" i="10" a="1"/>
  <c r="G975" i="10" a="1"/>
  <c r="G927" i="10" a="1"/>
  <c r="G991" i="10" a="1"/>
  <c r="G415" i="10" a="1"/>
  <c r="G417" i="10" a="1"/>
  <c r="G419" i="10" a="1"/>
  <c r="G421" i="10" a="1"/>
  <c r="G423" i="10" a="1"/>
  <c r="G425" i="10" a="1"/>
  <c r="G427" i="10" a="1"/>
  <c r="G429" i="10" a="1"/>
  <c r="G431" i="10" a="1"/>
  <c r="G433" i="10" a="1"/>
  <c r="G435" i="10" a="1"/>
  <c r="G437" i="10" a="1"/>
  <c r="G439" i="10" a="1"/>
  <c r="G441" i="10" a="1"/>
  <c r="G443" i="10" a="1"/>
  <c r="G445" i="10" a="1"/>
  <c r="G447" i="10" a="1"/>
  <c r="G449" i="10" a="1"/>
  <c r="G451" i="10" a="1"/>
  <c r="G416" i="10" a="1"/>
  <c r="G455" i="10" a="1"/>
  <c r="G458" i="10" a="1"/>
  <c r="G463" i="10" a="1"/>
  <c r="G466" i="10" a="1"/>
  <c r="G471" i="10" a="1"/>
  <c r="G474" i="10" a="1"/>
  <c r="G479" i="10" a="1"/>
  <c r="G482" i="10" a="1"/>
  <c r="G487" i="10" a="1"/>
  <c r="G490" i="10" a="1"/>
  <c r="G495" i="10" a="1"/>
  <c r="G498" i="10" a="1"/>
  <c r="G503" i="10" a="1"/>
  <c r="G506" i="10" a="1"/>
  <c r="G511" i="10" a="1"/>
  <c r="G514" i="10" a="1"/>
  <c r="G519" i="10" a="1"/>
  <c r="G522" i="10" a="1"/>
  <c r="G527" i="10" a="1"/>
  <c r="G530" i="10" a="1"/>
  <c r="G535" i="10" a="1"/>
  <c r="G538" i="10" a="1"/>
  <c r="G543" i="10" a="1"/>
  <c r="G546" i="10" a="1"/>
  <c r="G551" i="10" a="1"/>
  <c r="G554" i="10" a="1"/>
  <c r="G559" i="10" a="1"/>
  <c r="G562" i="10" a="1"/>
  <c r="G567" i="10" a="1"/>
  <c r="G570" i="10" a="1"/>
  <c r="G575" i="10" a="1"/>
  <c r="G578" i="10" a="1"/>
  <c r="G583" i="10" a="1"/>
  <c r="G418" i="10" a="1"/>
  <c r="G422" i="10" a="1"/>
  <c r="G426" i="10" a="1"/>
  <c r="G430" i="10" a="1"/>
  <c r="G434" i="10" a="1"/>
  <c r="G438" i="10" a="1"/>
  <c r="G442" i="10" a="1"/>
  <c r="G446" i="10" a="1"/>
  <c r="G450" i="10" a="1"/>
  <c r="G453" i="10" a="1"/>
  <c r="G456" i="10" a="1"/>
  <c r="G461" i="10" a="1"/>
  <c r="G464" i="10" a="1"/>
  <c r="G469" i="10" a="1"/>
  <c r="G472" i="10" a="1"/>
  <c r="G477" i="10" a="1"/>
  <c r="G480" i="10" a="1"/>
  <c r="G485" i="10" a="1"/>
  <c r="G488" i="10" a="1"/>
  <c r="G493" i="10" a="1"/>
  <c r="G496" i="10" a="1"/>
  <c r="G501" i="10" a="1"/>
  <c r="G504" i="10" a="1"/>
  <c r="G509" i="10" a="1"/>
  <c r="G512" i="10" a="1"/>
  <c r="G517" i="10" a="1"/>
  <c r="G520" i="10" a="1"/>
  <c r="G525" i="10" a="1"/>
  <c r="G528" i="10" a="1"/>
  <c r="G533" i="10" a="1"/>
  <c r="G536" i="10" a="1"/>
  <c r="G541" i="10" a="1"/>
  <c r="G544" i="10" a="1"/>
  <c r="G549" i="10" a="1"/>
  <c r="G552" i="10" a="1"/>
  <c r="G557" i="10" a="1"/>
  <c r="G560" i="10" a="1"/>
  <c r="G565" i="10" a="1"/>
  <c r="G568" i="10" a="1"/>
  <c r="G573" i="10" a="1"/>
  <c r="G576" i="10" a="1"/>
  <c r="G581" i="10" a="1"/>
  <c r="G584" i="10" a="1"/>
  <c r="G586" i="10" a="1"/>
  <c r="G588" i="10" a="1"/>
  <c r="G590" i="10" a="1"/>
  <c r="G592" i="10" a="1"/>
  <c r="G594" i="10" a="1"/>
  <c r="G596" i="10" a="1"/>
  <c r="G598" i="10" a="1"/>
  <c r="G600" i="10" a="1"/>
  <c r="G602" i="10" a="1"/>
  <c r="G604" i="10" a="1"/>
  <c r="G606" i="10" a="1"/>
  <c r="G608" i="10" a="1"/>
  <c r="G610" i="10" a="1"/>
  <c r="G612" i="10" a="1"/>
  <c r="G614" i="10" a="1"/>
  <c r="G616" i="10" a="1"/>
  <c r="G618" i="10" a="1"/>
  <c r="G620" i="10" a="1"/>
  <c r="G622" i="10" a="1"/>
  <c r="G624" i="10" a="1"/>
  <c r="G626" i="10" a="1"/>
  <c r="G628" i="10" a="1"/>
  <c r="G454" i="10" a="1"/>
  <c r="G459" i="10" a="1"/>
  <c r="G462" i="10" a="1"/>
  <c r="G467" i="10" a="1"/>
  <c r="G470" i="10" a="1"/>
  <c r="G475" i="10" a="1"/>
  <c r="G478" i="10" a="1"/>
  <c r="G483" i="10" a="1"/>
  <c r="G486" i="10" a="1"/>
  <c r="G491" i="10" a="1"/>
  <c r="G494" i="10" a="1"/>
  <c r="G499" i="10" a="1"/>
  <c r="G502" i="10" a="1"/>
  <c r="G507" i="10" a="1"/>
  <c r="G510" i="10" a="1"/>
  <c r="G515" i="10" a="1"/>
  <c r="G518" i="10" a="1"/>
  <c r="G523" i="10" a="1"/>
  <c r="G526" i="10" a="1"/>
  <c r="G531" i="10" a="1"/>
  <c r="G534" i="10" a="1"/>
  <c r="G539" i="10" a="1"/>
  <c r="G542" i="10" a="1"/>
  <c r="G547" i="10" a="1"/>
  <c r="G550" i="10" a="1"/>
  <c r="G555" i="10" a="1"/>
  <c r="G558" i="10" a="1"/>
  <c r="G563" i="10" a="1"/>
  <c r="G566" i="10" a="1"/>
  <c r="G420" i="10" a="1"/>
  <c r="G436" i="10" a="1"/>
  <c r="G452" i="10" a="1"/>
  <c r="G473" i="10" a="1"/>
  <c r="G484" i="10" a="1"/>
  <c r="G505" i="10" a="1"/>
  <c r="G516" i="10" a="1"/>
  <c r="G537" i="10" a="1"/>
  <c r="G548" i="10" a="1"/>
  <c r="G569" i="10" a="1"/>
  <c r="G580" i="10" a="1"/>
  <c r="G585" i="10" a="1"/>
  <c r="G589" i="10" a="1"/>
  <c r="G593" i="10" a="1"/>
  <c r="G597" i="10" a="1"/>
  <c r="G601" i="10" a="1"/>
  <c r="G605" i="10" a="1"/>
  <c r="G609" i="10" a="1"/>
  <c r="G613" i="10" a="1"/>
  <c r="G617" i="10" a="1"/>
  <c r="G621" i="10" a="1"/>
  <c r="G625" i="10" a="1"/>
  <c r="G424" i="10" a="1"/>
  <c r="G440" i="10" a="1"/>
  <c r="G465" i="10" a="1"/>
  <c r="G476" i="10" a="1"/>
  <c r="G497" i="10" a="1"/>
  <c r="G508" i="10" a="1"/>
  <c r="G529" i="10" a="1"/>
  <c r="G540" i="10" a="1"/>
  <c r="G561" i="10" a="1"/>
  <c r="G571" i="10" a="1"/>
  <c r="G582" i="10" a="1"/>
  <c r="G428" i="10" a="1"/>
  <c r="G444" i="10" a="1"/>
  <c r="G457" i="10" a="1"/>
  <c r="G468" i="10" a="1"/>
  <c r="G489" i="10" a="1"/>
  <c r="G500" i="10" a="1"/>
  <c r="G521" i="10" a="1"/>
  <c r="G532" i="10" a="1"/>
  <c r="G553" i="10" a="1"/>
  <c r="G564" i="10" a="1"/>
  <c r="G572" i="10" a="1"/>
  <c r="G577" i="10" a="1"/>
  <c r="G587" i="10" a="1"/>
  <c r="G591" i="10" a="1"/>
  <c r="G595" i="10" a="1"/>
  <c r="G599" i="10" a="1"/>
  <c r="G603" i="10" a="1"/>
  <c r="G607" i="10" a="1"/>
  <c r="G611" i="10" a="1"/>
  <c r="G615" i="10" a="1"/>
  <c r="G619" i="10" a="1"/>
  <c r="G623" i="10" a="1"/>
  <c r="G627" i="10" a="1"/>
  <c r="G432" i="10" a="1"/>
  <c r="G481" i="10" a="1"/>
  <c r="G524" i="10" a="1"/>
  <c r="G556" i="10" a="1"/>
  <c r="G448" i="10" a="1"/>
  <c r="G492" i="10" a="1"/>
  <c r="G574" i="10" a="1"/>
  <c r="G513" i="10" a="1"/>
  <c r="G460" i="10" a="1"/>
  <c r="G545" i="10" a="1"/>
  <c r="G579" i="10" a="1"/>
  <c r="G228" i="10" a="1"/>
  <c r="G230" i="10" a="1"/>
  <c r="G232" i="10" a="1"/>
  <c r="G234" i="10" a="1"/>
  <c r="G236" i="10" a="1"/>
  <c r="G238" i="10" a="1"/>
  <c r="G240" i="10" a="1"/>
  <c r="G242" i="10" a="1"/>
  <c r="G244" i="10" a="1"/>
  <c r="G246" i="10" a="1"/>
  <c r="G248" i="10" a="1"/>
  <c r="G250" i="10" a="1"/>
  <c r="G252" i="10" a="1"/>
  <c r="G254" i="10" a="1"/>
  <c r="G256" i="10" a="1"/>
  <c r="G258" i="10" a="1"/>
  <c r="G260" i="10" a="1"/>
  <c r="G262" i="10" a="1"/>
  <c r="G229" i="10" a="1"/>
  <c r="G231" i="10" a="1"/>
  <c r="G233" i="10" a="1"/>
  <c r="G235" i="10" a="1"/>
  <c r="G237" i="10" a="1"/>
  <c r="G239" i="10" a="1"/>
  <c r="G241" i="10" a="1"/>
  <c r="G243" i="10" a="1"/>
  <c r="G245" i="10" a="1"/>
  <c r="G247" i="10" a="1"/>
  <c r="G249" i="10" a="1"/>
  <c r="G251" i="10" a="1"/>
  <c r="G253" i="10" a="1"/>
  <c r="G255" i="10" a="1"/>
  <c r="G257" i="10" a="1"/>
  <c r="G259" i="10" a="1"/>
  <c r="G261" i="10" a="1"/>
  <c r="G263" i="10" a="1"/>
  <c r="G265" i="10" a="1"/>
  <c r="G267" i="10" a="1"/>
  <c r="G266" i="10" a="1"/>
  <c r="G272" i="10" a="1"/>
  <c r="G275" i="10" a="1"/>
  <c r="G280" i="10" a="1"/>
  <c r="G283" i="10" a="1"/>
  <c r="G288" i="10" a="1"/>
  <c r="G291" i="10" a="1"/>
  <c r="G296" i="10" a="1"/>
  <c r="G299" i="10" a="1"/>
  <c r="G304" i="10" a="1"/>
  <c r="G307" i="10" a="1"/>
  <c r="G312" i="10" a="1"/>
  <c r="G315" i="10" a="1"/>
  <c r="G320" i="10" a="1"/>
  <c r="G323" i="10" a="1"/>
  <c r="G328" i="10" a="1"/>
  <c r="G331" i="10" a="1"/>
  <c r="G336" i="10" a="1"/>
  <c r="G339" i="10" a="1"/>
  <c r="G344" i="10" a="1"/>
  <c r="G347" i="10" a="1"/>
  <c r="G352" i="10" a="1"/>
  <c r="G355" i="10" a="1"/>
  <c r="G360" i="10" a="1"/>
  <c r="G363" i="10" a="1"/>
  <c r="G368" i="10" a="1"/>
  <c r="G371" i="10" a="1"/>
  <c r="G376" i="10" a="1"/>
  <c r="G379" i="10" a="1"/>
  <c r="G384" i="10" a="1"/>
  <c r="G387" i="10" a="1"/>
  <c r="G392" i="10" a="1"/>
  <c r="G395" i="10" a="1"/>
  <c r="G270" i="10" a="1"/>
  <c r="G273" i="10" a="1"/>
  <c r="G278" i="10" a="1"/>
  <c r="G281" i="10" a="1"/>
  <c r="G286" i="10" a="1"/>
  <c r="G289" i="10" a="1"/>
  <c r="G294" i="10" a="1"/>
  <c r="G297" i="10" a="1"/>
  <c r="G302" i="10" a="1"/>
  <c r="G305" i="10" a="1"/>
  <c r="G310" i="10" a="1"/>
  <c r="G313" i="10" a="1"/>
  <c r="G318" i="10" a="1"/>
  <c r="G321" i="10" a="1"/>
  <c r="G326" i="10" a="1"/>
  <c r="G329" i="10" a="1"/>
  <c r="G334" i="10" a="1"/>
  <c r="G337" i="10" a="1"/>
  <c r="G342" i="10" a="1"/>
  <c r="G345" i="10" a="1"/>
  <c r="G350" i="10" a="1"/>
  <c r="G353" i="10" a="1"/>
  <c r="G358" i="10" a="1"/>
  <c r="G361" i="10" a="1"/>
  <c r="G366" i="10" a="1"/>
  <c r="G369" i="10" a="1"/>
  <c r="G374" i="10" a="1"/>
  <c r="G377" i="10" a="1"/>
  <c r="G382" i="10" a="1"/>
  <c r="G385" i="10" a="1"/>
  <c r="G390" i="10" a="1"/>
  <c r="G393" i="10" a="1"/>
  <c r="G398" i="10" a="1"/>
  <c r="G400" i="10" a="1"/>
  <c r="G402" i="10" a="1"/>
  <c r="G404" i="10" a="1"/>
  <c r="G406" i="10" a="1"/>
  <c r="G408" i="10" a="1"/>
  <c r="G410" i="10" a="1"/>
  <c r="G412" i="10" a="1"/>
  <c r="G414" i="10" a="1"/>
  <c r="G264" i="10" a="1"/>
  <c r="G268" i="10" a="1"/>
  <c r="G271" i="10" a="1"/>
  <c r="G276" i="10" a="1"/>
  <c r="G279" i="10" a="1"/>
  <c r="G284" i="10" a="1"/>
  <c r="G287" i="10" a="1"/>
  <c r="G292" i="10" a="1"/>
  <c r="G295" i="10" a="1"/>
  <c r="G300" i="10" a="1"/>
  <c r="G303" i="10" a="1"/>
  <c r="G308" i="10" a="1"/>
  <c r="G311" i="10" a="1"/>
  <c r="G316" i="10" a="1"/>
  <c r="G319" i="10" a="1"/>
  <c r="G324" i="10" a="1"/>
  <c r="G327" i="10" a="1"/>
  <c r="G332" i="10" a="1"/>
  <c r="G335" i="10" a="1"/>
  <c r="G340" i="10" a="1"/>
  <c r="G343" i="10" a="1"/>
  <c r="G348" i="10" a="1"/>
  <c r="G351" i="10" a="1"/>
  <c r="G356" i="10" a="1"/>
  <c r="G359" i="10" a="1"/>
  <c r="G364" i="10" a="1"/>
  <c r="G367" i="10" a="1"/>
  <c r="G372" i="10" a="1"/>
  <c r="G375" i="10" a="1"/>
  <c r="G380" i="10" a="1"/>
  <c r="G383" i="10" a="1"/>
  <c r="G388" i="10" a="1"/>
  <c r="G391" i="10" a="1"/>
  <c r="G396" i="10" a="1"/>
  <c r="G277" i="10" a="1"/>
  <c r="G298" i="10" a="1"/>
  <c r="G309" i="10" a="1"/>
  <c r="G330" i="10" a="1"/>
  <c r="G341" i="10" a="1"/>
  <c r="G362" i="10" a="1"/>
  <c r="G373" i="10" a="1"/>
  <c r="G394" i="10" a="1"/>
  <c r="G403" i="10" a="1"/>
  <c r="G411" i="10" a="1"/>
  <c r="G269" i="10" a="1"/>
  <c r="G290" i="10" a="1"/>
  <c r="G301" i="10" a="1"/>
  <c r="G322" i="10" a="1"/>
  <c r="G333" i="10" a="1"/>
  <c r="G354" i="10" a="1"/>
  <c r="G365" i="10" a="1"/>
  <c r="G386" i="10" a="1"/>
  <c r="G397" i="10" a="1"/>
  <c r="G405" i="10" a="1"/>
  <c r="G413" i="10" a="1"/>
  <c r="G282" i="10" a="1"/>
  <c r="G293" i="10" a="1"/>
  <c r="G314" i="10" a="1"/>
  <c r="G325" i="10" a="1"/>
  <c r="G346" i="10" a="1"/>
  <c r="G357" i="10" a="1"/>
  <c r="G378" i="10" a="1"/>
  <c r="G389" i="10" a="1"/>
  <c r="G399" i="10" a="1"/>
  <c r="G407" i="10" a="1"/>
  <c r="G306" i="10" a="1"/>
  <c r="G349" i="10" a="1"/>
  <c r="G338" i="10" a="1"/>
  <c r="G274" i="10" a="1"/>
  <c r="G317" i="10" a="1"/>
  <c r="G401" i="10" a="1"/>
  <c r="G285" i="10" a="1"/>
  <c r="G370" i="10" a="1"/>
  <c r="G409" i="10" a="1"/>
  <c r="G381" i="10" a="1"/>
  <c r="G205" i="10" a="1"/>
  <c r="G207" i="10" a="1"/>
  <c r="G209" i="10" a="1"/>
  <c r="G211" i="10" a="1"/>
  <c r="G213" i="10" a="1"/>
  <c r="G215" i="10" a="1"/>
  <c r="G217" i="10" a="1"/>
  <c r="G219" i="10" a="1"/>
  <c r="G221" i="10" a="1"/>
  <c r="G223" i="10" a="1"/>
  <c r="G225" i="10" a="1"/>
  <c r="G227" i="10" a="1"/>
  <c r="G104" i="10" a="1"/>
  <c r="G106" i="10" a="1"/>
  <c r="G108" i="10" a="1"/>
  <c r="G110" i="10" a="1"/>
  <c r="G112" i="10" a="1"/>
  <c r="G114" i="10" a="1"/>
  <c r="G116" i="10" a="1"/>
  <c r="G118" i="10" a="1"/>
  <c r="G120" i="10" a="1"/>
  <c r="G122" i="10" a="1"/>
  <c r="G124" i="10" a="1"/>
  <c r="G126" i="10" a="1"/>
  <c r="G128" i="10" a="1"/>
  <c r="G130" i="10" a="1"/>
  <c r="G132" i="10" a="1"/>
  <c r="G134" i="10" a="1"/>
  <c r="G136" i="10" a="1"/>
  <c r="G138" i="10" a="1"/>
  <c r="G206" i="10" a="1"/>
  <c r="G208" i="10" a="1"/>
  <c r="G210" i="10" a="1"/>
  <c r="G212" i="10" a="1"/>
  <c r="G214" i="10" a="1"/>
  <c r="G216" i="10" a="1"/>
  <c r="G218" i="10" a="1"/>
  <c r="G220" i="10" a="1"/>
  <c r="G222" i="10" a="1"/>
  <c r="G224" i="10" a="1"/>
  <c r="G226" i="10" a="1"/>
  <c r="G103" i="10" a="1"/>
  <c r="G111" i="10" a="1"/>
  <c r="G119" i="10" a="1"/>
  <c r="G127" i="10" a="1"/>
  <c r="G135" i="10" a="1"/>
  <c r="G141" i="10" a="1"/>
  <c r="G145" i="10" a="1"/>
  <c r="G149" i="10" a="1"/>
  <c r="G153" i="10" a="1"/>
  <c r="G157" i="10" a="1"/>
  <c r="G161" i="10" a="1"/>
  <c r="G165" i="10" a="1"/>
  <c r="G169" i="10" a="1"/>
  <c r="G173" i="10" a="1"/>
  <c r="G177" i="10" a="1"/>
  <c r="G181" i="10" a="1"/>
  <c r="G185" i="10" a="1"/>
  <c r="G189" i="10" a="1"/>
  <c r="G193" i="10" a="1"/>
  <c r="G197" i="10" a="1"/>
  <c r="G203" i="10" a="1"/>
  <c r="G105" i="10" a="1"/>
  <c r="G113" i="10" a="1"/>
  <c r="G121" i="10" a="1"/>
  <c r="G129" i="10" a="1"/>
  <c r="G137" i="10" a="1"/>
  <c r="G142" i="10" a="1"/>
  <c r="G146" i="10" a="1"/>
  <c r="G150" i="10" a="1"/>
  <c r="G154" i="10" a="1"/>
  <c r="G158" i="10" a="1"/>
  <c r="G162" i="10" a="1"/>
  <c r="G166" i="10" a="1"/>
  <c r="G170" i="10" a="1"/>
  <c r="G174" i="10" a="1"/>
  <c r="G178" i="10" a="1"/>
  <c r="G182" i="10" a="1"/>
  <c r="G186" i="10" a="1"/>
  <c r="G190" i="10" a="1"/>
  <c r="G194" i="10" a="1"/>
  <c r="G198" i="10" a="1"/>
  <c r="G201" i="10" a="1"/>
  <c r="G204" i="10" a="1"/>
  <c r="G107" i="10" a="1"/>
  <c r="G115" i="10" a="1"/>
  <c r="G123" i="10" a="1"/>
  <c r="G131" i="10" a="1"/>
  <c r="G139" i="10" a="1"/>
  <c r="G143" i="10" a="1"/>
  <c r="G147" i="10" a="1"/>
  <c r="G151" i="10" a="1"/>
  <c r="G155" i="10" a="1"/>
  <c r="G159" i="10" a="1"/>
  <c r="G163" i="10" a="1"/>
  <c r="G167" i="10" a="1"/>
  <c r="G171" i="10" a="1"/>
  <c r="G175" i="10" a="1"/>
  <c r="G179" i="10" a="1"/>
  <c r="G183" i="10" a="1"/>
  <c r="G187" i="10" a="1"/>
  <c r="G191" i="10" a="1"/>
  <c r="G195" i="10" a="1"/>
  <c r="G199" i="10" a="1"/>
  <c r="G202" i="10" a="1"/>
  <c r="G117" i="10" a="1"/>
  <c r="G144" i="10" a="1"/>
  <c r="G160" i="10" a="1"/>
  <c r="G176" i="10" a="1"/>
  <c r="G192" i="10" a="1"/>
  <c r="G109" i="10" a="1"/>
  <c r="G188" i="10" a="1"/>
  <c r="G125" i="10" a="1"/>
  <c r="G148" i="10" a="1"/>
  <c r="G164" i="10" a="1"/>
  <c r="G180" i="10" a="1"/>
  <c r="G196" i="10" a="1"/>
  <c r="G156" i="10" a="1"/>
  <c r="G133" i="10" a="1"/>
  <c r="G152" i="10" a="1"/>
  <c r="G168" i="10" a="1"/>
  <c r="G184" i="10" a="1"/>
  <c r="G200" i="10" a="1"/>
  <c r="G140" i="10" a="1"/>
  <c r="G172" i="10" a="1"/>
  <c r="G68" i="10" a="1"/>
  <c r="G70" i="10" a="1"/>
  <c r="G72" i="10" a="1"/>
  <c r="G74" i="10" a="1"/>
  <c r="G76" i="10" a="1"/>
  <c r="G78" i="10" a="1"/>
  <c r="G80" i="10" a="1"/>
  <c r="G82" i="10" a="1"/>
  <c r="G84" i="10" a="1"/>
  <c r="G86" i="10" a="1"/>
  <c r="G88" i="10" a="1"/>
  <c r="G90" i="10" a="1"/>
  <c r="G92" i="10" a="1"/>
  <c r="G94" i="10" a="1"/>
  <c r="G96" i="10" a="1"/>
  <c r="G98" i="10" a="1"/>
  <c r="G100" i="10" a="1"/>
  <c r="G102" i="10" a="1"/>
  <c r="G69" i="10" a="1"/>
  <c r="G71" i="10" a="1"/>
  <c r="G73" i="10" a="1"/>
  <c r="G75" i="10" a="1"/>
  <c r="G77" i="10" a="1"/>
  <c r="G79" i="10" a="1"/>
  <c r="G81" i="10" a="1"/>
  <c r="G83" i="10" a="1"/>
  <c r="G85" i="10" a="1"/>
  <c r="G87" i="10" a="1"/>
  <c r="G89" i="10" a="1"/>
  <c r="G91" i="10" a="1"/>
  <c r="G93" i="10" a="1"/>
  <c r="G95" i="10" a="1"/>
  <c r="G97" i="10" a="1"/>
  <c r="G99" i="10" a="1"/>
  <c r="G101" i="10" a="1"/>
  <c r="G3" i="10" a="1"/>
  <c r="G5" i="10" a="1"/>
  <c r="G7" i="10" a="1"/>
  <c r="G9" i="10" a="1"/>
  <c r="G11" i="10" a="1"/>
  <c r="G13" i="10" a="1"/>
  <c r="G15" i="10" a="1"/>
  <c r="G17" i="10" a="1"/>
  <c r="G19" i="10" a="1"/>
  <c r="G21" i="10" a="1"/>
  <c r="G23" i="10" a="1"/>
  <c r="G25" i="10" a="1"/>
  <c r="G27" i="10" a="1"/>
  <c r="G29" i="10" a="1"/>
  <c r="G31" i="10" a="1"/>
  <c r="G33" i="10" a="1"/>
  <c r="G35" i="10" a="1"/>
  <c r="G37" i="10" a="1"/>
  <c r="G39" i="10" a="1"/>
  <c r="G41" i="10" a="1"/>
  <c r="G43" i="10" a="1"/>
  <c r="G45" i="10" a="1"/>
  <c r="G47" i="10" a="1"/>
  <c r="G49" i="10" a="1"/>
  <c r="G51" i="10" a="1"/>
  <c r="G53" i="10" a="1"/>
  <c r="G55" i="10" a="1"/>
  <c r="G57" i="10" a="1"/>
  <c r="G59" i="10" a="1"/>
  <c r="G61" i="10" a="1"/>
  <c r="G63" i="10" a="1"/>
  <c r="G65" i="10" a="1"/>
  <c r="G67" i="10" a="1"/>
  <c r="G4" i="10" a="1"/>
  <c r="G8" i="10" a="1"/>
  <c r="G12" i="10" a="1"/>
  <c r="G16" i="10" a="1"/>
  <c r="G20" i="10" a="1"/>
  <c r="G24" i="10" a="1"/>
  <c r="G28" i="10" a="1"/>
  <c r="G32" i="10" a="1"/>
  <c r="G36" i="10" a="1"/>
  <c r="G40" i="10" a="1"/>
  <c r="G44" i="10" a="1"/>
  <c r="G48" i="10" a="1"/>
  <c r="G52" i="10" a="1"/>
  <c r="G56" i="10" a="1"/>
  <c r="G60" i="10" a="1"/>
  <c r="G64" i="10" a="1"/>
  <c r="G6" i="10" a="1"/>
  <c r="G10" i="10" a="1"/>
  <c r="G14" i="10" a="1"/>
  <c r="G18" i="10" a="1"/>
  <c r="G22" i="10" a="1"/>
  <c r="G26" i="10" a="1"/>
  <c r="G30" i="10" a="1"/>
  <c r="G34" i="10" a="1"/>
  <c r="G38" i="10" a="1"/>
  <c r="G42" i="10" a="1"/>
  <c r="G46" i="10" a="1"/>
  <c r="G50" i="10" a="1"/>
  <c r="G54" i="10" a="1"/>
  <c r="G58" i="10" a="1"/>
  <c r="G62" i="10" a="1"/>
  <c r="G66" i="10" a="1"/>
  <c r="B30" i="3" l="1"/>
  <c r="B28" i="3"/>
  <c r="B26" i="3"/>
  <c r="B24" i="3"/>
  <c r="B31" i="3"/>
  <c r="B29" i="3"/>
  <c r="B27" i="3"/>
  <c r="B25" i="3"/>
  <c r="B23" i="3"/>
  <c r="G172" i="10"/>
  <c r="G140" i="10"/>
  <c r="G200" i="10"/>
  <c r="G184" i="10"/>
  <c r="G168" i="10"/>
  <c r="G152" i="10"/>
  <c r="G133" i="10"/>
  <c r="G156" i="10"/>
  <c r="G196" i="10"/>
  <c r="G180" i="10"/>
  <c r="G164" i="10"/>
  <c r="G148" i="10"/>
  <c r="G125" i="10"/>
  <c r="G188" i="10"/>
  <c r="G109" i="10"/>
  <c r="G192" i="10"/>
  <c r="G176" i="10"/>
  <c r="G160" i="10"/>
  <c r="G144" i="10"/>
  <c r="G117" i="10"/>
  <c r="G202" i="10"/>
  <c r="G199" i="10"/>
  <c r="G195" i="10"/>
  <c r="G191" i="10"/>
  <c r="G187" i="10"/>
  <c r="G183" i="10"/>
  <c r="G179" i="10"/>
  <c r="G175" i="10"/>
  <c r="G171" i="10"/>
  <c r="G167" i="10"/>
  <c r="G163" i="10"/>
  <c r="G159" i="10"/>
  <c r="G155" i="10"/>
  <c r="G151" i="10"/>
  <c r="G147" i="10"/>
  <c r="G143" i="10"/>
  <c r="G139" i="10"/>
  <c r="G131" i="10"/>
  <c r="G123" i="10"/>
  <c r="G115" i="10"/>
  <c r="G107" i="10"/>
  <c r="G204" i="10"/>
  <c r="G201" i="10"/>
  <c r="G198" i="10"/>
  <c r="G194" i="10"/>
  <c r="G190" i="10"/>
  <c r="G186" i="10"/>
  <c r="G182" i="10"/>
  <c r="G178" i="10"/>
  <c r="G174" i="10"/>
  <c r="G170" i="10"/>
  <c r="G166" i="10"/>
  <c r="G162" i="10"/>
  <c r="G158" i="10"/>
  <c r="G154" i="10"/>
  <c r="G150" i="10"/>
  <c r="G146" i="10"/>
  <c r="G142" i="10"/>
  <c r="G137" i="10"/>
  <c r="G129" i="10"/>
  <c r="G121" i="10"/>
  <c r="G113" i="10"/>
  <c r="G105" i="10"/>
  <c r="G203" i="10"/>
  <c r="G197" i="10"/>
  <c r="G193" i="10"/>
  <c r="G189" i="10"/>
  <c r="G185" i="10"/>
  <c r="G181" i="10"/>
  <c r="G177" i="10"/>
  <c r="G173" i="10"/>
  <c r="G169" i="10"/>
  <c r="G165" i="10"/>
  <c r="G161" i="10"/>
  <c r="G157" i="10"/>
  <c r="G153" i="10"/>
  <c r="G149" i="10"/>
  <c r="G145" i="10"/>
  <c r="G141" i="10"/>
  <c r="G135" i="10"/>
  <c r="G127" i="10"/>
  <c r="G119" i="10"/>
  <c r="G111" i="10"/>
  <c r="G103" i="10"/>
  <c r="G226" i="10"/>
  <c r="G224" i="10"/>
  <c r="G222" i="10"/>
  <c r="G220" i="10"/>
  <c r="G218" i="10"/>
  <c r="G216" i="10"/>
  <c r="G214" i="10"/>
  <c r="G212" i="10"/>
  <c r="G210" i="10"/>
  <c r="G208" i="10"/>
  <c r="G206" i="10"/>
  <c r="G138" i="10"/>
  <c r="G136" i="10"/>
  <c r="G134" i="10"/>
  <c r="G132" i="10"/>
  <c r="G130" i="10"/>
  <c r="G128" i="10"/>
  <c r="G126" i="10"/>
  <c r="G124" i="10"/>
  <c r="G122" i="10"/>
  <c r="G120" i="10"/>
  <c r="G118" i="10"/>
  <c r="G116" i="10"/>
  <c r="G114" i="10"/>
  <c r="G112" i="10"/>
  <c r="G110" i="10"/>
  <c r="G381" i="10"/>
  <c r="G409" i="10"/>
  <c r="G370" i="10"/>
  <c r="G285" i="10"/>
  <c r="G401" i="10"/>
  <c r="G317" i="10"/>
  <c r="G274" i="10"/>
  <c r="G338" i="10"/>
  <c r="G349" i="10"/>
  <c r="G306" i="10"/>
  <c r="G407" i="10"/>
  <c r="G399" i="10"/>
  <c r="G389" i="10"/>
  <c r="G378" i="10"/>
  <c r="G357" i="10"/>
  <c r="G346" i="10"/>
  <c r="G325" i="10"/>
  <c r="G314" i="10"/>
  <c r="G293" i="10"/>
  <c r="G282" i="10"/>
  <c r="G413" i="10"/>
  <c r="G405" i="10"/>
  <c r="G397" i="10"/>
  <c r="G386" i="10"/>
  <c r="G365" i="10"/>
  <c r="G354" i="10"/>
  <c r="G333" i="10"/>
  <c r="G322" i="10"/>
  <c r="G301" i="10"/>
  <c r="G290" i="10"/>
  <c r="G269" i="10"/>
  <c r="G411" i="10"/>
  <c r="G403" i="10"/>
  <c r="G394" i="10"/>
  <c r="G373" i="10"/>
  <c r="G362" i="10"/>
  <c r="G341" i="10"/>
  <c r="G330" i="10"/>
  <c r="G309" i="10"/>
  <c r="G298" i="10"/>
  <c r="G277" i="10"/>
  <c r="G396" i="10"/>
  <c r="G391" i="10"/>
  <c r="G388" i="10"/>
  <c r="G383" i="10"/>
  <c r="G380" i="10"/>
  <c r="G375" i="10"/>
  <c r="G372" i="10"/>
  <c r="G367" i="10"/>
  <c r="G364" i="10"/>
  <c r="G359" i="10"/>
  <c r="G356" i="10"/>
  <c r="G351" i="10"/>
  <c r="G348" i="10"/>
  <c r="G343" i="10"/>
  <c r="G340" i="10"/>
  <c r="G335" i="10"/>
  <c r="G332" i="10"/>
  <c r="G327" i="10"/>
  <c r="G324" i="10"/>
  <c r="G319" i="10"/>
  <c r="G316" i="10"/>
  <c r="G311" i="10"/>
  <c r="G308" i="10"/>
  <c r="G303" i="10"/>
  <c r="G300" i="10"/>
  <c r="G295" i="10"/>
  <c r="G292" i="10"/>
  <c r="G287" i="10"/>
  <c r="G284" i="10"/>
  <c r="G279" i="10"/>
  <c r="G276" i="10"/>
  <c r="G271" i="10"/>
  <c r="G268" i="10"/>
  <c r="G264" i="10"/>
  <c r="G414" i="10"/>
  <c r="G412" i="10"/>
  <c r="G410" i="10"/>
  <c r="G408" i="10"/>
  <c r="G406" i="10"/>
  <c r="G404" i="10"/>
  <c r="G402" i="10"/>
  <c r="G400" i="10"/>
  <c r="G398" i="10"/>
  <c r="G393" i="10"/>
  <c r="G390" i="10"/>
  <c r="G385" i="10"/>
  <c r="G382" i="10"/>
  <c r="G377" i="10"/>
  <c r="G374" i="10"/>
  <c r="G369" i="10"/>
  <c r="G366" i="10"/>
  <c r="G361" i="10"/>
  <c r="G358" i="10"/>
  <c r="G353" i="10"/>
  <c r="G350" i="10"/>
  <c r="G345" i="10"/>
  <c r="G342" i="10"/>
  <c r="G337" i="10"/>
  <c r="G334" i="10"/>
  <c r="G329" i="10"/>
  <c r="G326" i="10"/>
  <c r="G321" i="10"/>
  <c r="G318" i="10"/>
  <c r="G313" i="10"/>
  <c r="G310" i="10"/>
  <c r="G305" i="10"/>
  <c r="G302" i="10"/>
  <c r="G297" i="10"/>
  <c r="G294" i="10"/>
  <c r="G289" i="10"/>
  <c r="G286" i="10"/>
  <c r="G281" i="10"/>
  <c r="G278" i="10"/>
  <c r="G273" i="10"/>
  <c r="G270" i="10"/>
  <c r="G395" i="10"/>
  <c r="G392" i="10"/>
  <c r="G387" i="10"/>
  <c r="G384" i="10"/>
  <c r="G379" i="10"/>
  <c r="G376" i="10"/>
  <c r="G371" i="10"/>
  <c r="G368" i="10"/>
  <c r="G363" i="10"/>
  <c r="G360" i="10"/>
  <c r="G355" i="10"/>
  <c r="G352" i="10"/>
  <c r="G347" i="10"/>
  <c r="G344" i="10"/>
  <c r="G339" i="10"/>
  <c r="G336" i="10"/>
  <c r="G331" i="10"/>
  <c r="G328" i="10"/>
  <c r="G323" i="10"/>
  <c r="G320" i="10"/>
  <c r="G315" i="10"/>
  <c r="G312" i="10"/>
  <c r="G307" i="10"/>
  <c r="G304" i="10"/>
  <c r="G299" i="10"/>
  <c r="G296" i="10"/>
  <c r="G291" i="10"/>
  <c r="G288" i="10"/>
  <c r="G283" i="10"/>
  <c r="G280" i="10"/>
  <c r="G275" i="10"/>
  <c r="G272" i="10"/>
  <c r="G266" i="10"/>
  <c r="G267" i="10"/>
  <c r="G265" i="10"/>
  <c r="G263" i="10"/>
  <c r="G261" i="10"/>
  <c r="G259" i="10"/>
  <c r="G257" i="10"/>
  <c r="G255" i="10"/>
  <c r="G253" i="10"/>
  <c r="G251" i="10"/>
  <c r="G249" i="10"/>
  <c r="G247" i="10"/>
  <c r="G245" i="10"/>
  <c r="G243" i="10"/>
  <c r="G241" i="10"/>
  <c r="G239" i="10"/>
  <c r="G237" i="10"/>
  <c r="G235" i="10"/>
  <c r="G233" i="10"/>
  <c r="G231" i="10"/>
  <c r="G229" i="10"/>
  <c r="G262" i="10"/>
  <c r="G260" i="10"/>
  <c r="G258" i="10"/>
  <c r="G579" i="10"/>
  <c r="G545" i="10"/>
  <c r="G460" i="10"/>
  <c r="G513" i="10"/>
  <c r="G574" i="10"/>
  <c r="G492" i="10"/>
  <c r="G448" i="10"/>
  <c r="G556" i="10"/>
  <c r="G524" i="10"/>
  <c r="G481" i="10"/>
  <c r="J481" i="10" s="1"/>
  <c r="G432" i="10"/>
  <c r="G627" i="10"/>
  <c r="G623" i="10"/>
  <c r="G619" i="10"/>
  <c r="G615" i="10"/>
  <c r="G611" i="10"/>
  <c r="G607" i="10"/>
  <c r="G603" i="10"/>
  <c r="G599" i="10"/>
  <c r="G595" i="10"/>
  <c r="G591" i="10"/>
  <c r="G587" i="10"/>
  <c r="H587" i="10" s="1"/>
  <c r="G577" i="10"/>
  <c r="G572" i="10"/>
  <c r="G564" i="10"/>
  <c r="I564" i="10" s="1"/>
  <c r="G553" i="10"/>
  <c r="G532" i="10"/>
  <c r="G521" i="10"/>
  <c r="G500" i="10"/>
  <c r="J500" i="10" s="1"/>
  <c r="G489" i="10"/>
  <c r="G468" i="10"/>
  <c r="G457" i="10"/>
  <c r="G444" i="10"/>
  <c r="J444" i="10" s="1"/>
  <c r="G428" i="10"/>
  <c r="J428" i="10" s="1"/>
  <c r="G582" i="10"/>
  <c r="G571" i="10"/>
  <c r="G561" i="10"/>
  <c r="J561" i="10" s="1"/>
  <c r="G540" i="10"/>
  <c r="J540" i="10" s="1"/>
  <c r="G529" i="10"/>
  <c r="G508" i="10"/>
  <c r="G497" i="10"/>
  <c r="G476" i="10"/>
  <c r="I476" i="10" s="1"/>
  <c r="G465" i="10"/>
  <c r="G440" i="10"/>
  <c r="G424" i="10"/>
  <c r="G625" i="10"/>
  <c r="H625" i="10" s="1"/>
  <c r="G621" i="10"/>
  <c r="G617" i="10"/>
  <c r="G613" i="10"/>
  <c r="G609" i="10"/>
  <c r="H609" i="10" s="1"/>
  <c r="G605" i="10"/>
  <c r="G601" i="10"/>
  <c r="G597" i="10"/>
  <c r="G593" i="10"/>
  <c r="H593" i="10" s="1"/>
  <c r="G589" i="10"/>
  <c r="G585" i="10"/>
  <c r="G580" i="10"/>
  <c r="G569" i="10"/>
  <c r="G548" i="10"/>
  <c r="G537" i="10"/>
  <c r="G516" i="10"/>
  <c r="G505" i="10"/>
  <c r="G484" i="10"/>
  <c r="G473" i="10"/>
  <c r="G452" i="10"/>
  <c r="G436" i="10"/>
  <c r="G420" i="10"/>
  <c r="G566" i="10"/>
  <c r="G563" i="10"/>
  <c r="G558" i="10"/>
  <c r="G555" i="10"/>
  <c r="G550" i="10"/>
  <c r="G547" i="10"/>
  <c r="G542" i="10"/>
  <c r="G539" i="10"/>
  <c r="G534" i="10"/>
  <c r="G531" i="10"/>
  <c r="G526" i="10"/>
  <c r="G523" i="10"/>
  <c r="G518" i="10"/>
  <c r="G515" i="10"/>
  <c r="G510" i="10"/>
  <c r="G507" i="10"/>
  <c r="G502" i="10"/>
  <c r="G499" i="10"/>
  <c r="G494" i="10"/>
  <c r="G491" i="10"/>
  <c r="G486" i="10"/>
  <c r="G483" i="10"/>
  <c r="G478" i="10"/>
  <c r="G475" i="10"/>
  <c r="G470" i="10"/>
  <c r="G467" i="10"/>
  <c r="G462" i="10"/>
  <c r="G459" i="10"/>
  <c r="G454" i="10"/>
  <c r="G628" i="10"/>
  <c r="G626" i="10"/>
  <c r="G624" i="10"/>
  <c r="G622" i="10"/>
  <c r="G620" i="10"/>
  <c r="G618" i="10"/>
  <c r="G616" i="10"/>
  <c r="G614" i="10"/>
  <c r="G612" i="10"/>
  <c r="G610" i="10"/>
  <c r="G608" i="10"/>
  <c r="G606" i="10"/>
  <c r="G604" i="10"/>
  <c r="G602" i="10"/>
  <c r="G600" i="10"/>
  <c r="G598" i="10"/>
  <c r="G596" i="10"/>
  <c r="G594" i="10"/>
  <c r="G592" i="10"/>
  <c r="G590" i="10"/>
  <c r="G588" i="10"/>
  <c r="G586" i="10"/>
  <c r="G584" i="10"/>
  <c r="G581" i="10"/>
  <c r="G576" i="10"/>
  <c r="G573" i="10"/>
  <c r="G568" i="10"/>
  <c r="G565" i="10"/>
  <c r="G560" i="10"/>
  <c r="G557" i="10"/>
  <c r="G552" i="10"/>
  <c r="G549" i="10"/>
  <c r="G544" i="10"/>
  <c r="G541" i="10"/>
  <c r="G536" i="10"/>
  <c r="G533" i="10"/>
  <c r="G528" i="10"/>
  <c r="G525" i="10"/>
  <c r="G520" i="10"/>
  <c r="G517" i="10"/>
  <c r="G512" i="10"/>
  <c r="G509" i="10"/>
  <c r="G504" i="10"/>
  <c r="G501" i="10"/>
  <c r="G496" i="10"/>
  <c r="G493" i="10"/>
  <c r="G488" i="10"/>
  <c r="G485" i="10"/>
  <c r="G480" i="10"/>
  <c r="G477" i="10"/>
  <c r="G472" i="10"/>
  <c r="G469" i="10"/>
  <c r="G464" i="10"/>
  <c r="G461" i="10"/>
  <c r="G456" i="10"/>
  <c r="G453" i="10"/>
  <c r="G450" i="10"/>
  <c r="G446" i="10"/>
  <c r="G442" i="10"/>
  <c r="G438" i="10"/>
  <c r="G434" i="10"/>
  <c r="G430" i="10"/>
  <c r="G426" i="10"/>
  <c r="G422" i="10"/>
  <c r="G418" i="10"/>
  <c r="G583" i="10"/>
  <c r="G578" i="10"/>
  <c r="G575" i="10"/>
  <c r="G570" i="10"/>
  <c r="G567" i="10"/>
  <c r="G562" i="10"/>
  <c r="G559" i="10"/>
  <c r="G554" i="10"/>
  <c r="G551" i="10"/>
  <c r="G546" i="10"/>
  <c r="G543" i="10"/>
  <c r="G538" i="10"/>
  <c r="G535" i="10"/>
  <c r="G530" i="10"/>
  <c r="G527" i="10"/>
  <c r="G522" i="10"/>
  <c r="G519" i="10"/>
  <c r="G514" i="10"/>
  <c r="G511" i="10"/>
  <c r="G506" i="10"/>
  <c r="G503" i="10"/>
  <c r="G498" i="10"/>
  <c r="G495" i="10"/>
  <c r="G490" i="10"/>
  <c r="G487" i="10"/>
  <c r="G482" i="10"/>
  <c r="G479" i="10"/>
  <c r="G474" i="10"/>
  <c r="G471" i="10"/>
  <c r="G466" i="10"/>
  <c r="G463" i="10"/>
  <c r="G458" i="10"/>
  <c r="G455" i="10"/>
  <c r="G416" i="10"/>
  <c r="G451" i="10"/>
  <c r="G449" i="10"/>
  <c r="G447" i="10"/>
  <c r="G445" i="10"/>
  <c r="G991" i="10"/>
  <c r="G927" i="10"/>
  <c r="J927" i="10" s="1"/>
  <c r="G975" i="10"/>
  <c r="G911" i="10"/>
  <c r="G959" i="10"/>
  <c r="G879" i="10"/>
  <c r="J879" i="10" s="1"/>
  <c r="G943" i="10"/>
  <c r="H943" i="10" s="1"/>
  <c r="G814" i="10"/>
  <c r="G1003" i="10"/>
  <c r="G987" i="10"/>
  <c r="J987" i="10" s="1"/>
  <c r="G971" i="10"/>
  <c r="G955" i="10"/>
  <c r="G939" i="10"/>
  <c r="G923" i="10"/>
  <c r="J923" i="10" s="1"/>
  <c r="G903" i="10"/>
  <c r="H903" i="10" s="1"/>
  <c r="G866" i="10"/>
  <c r="G999" i="10"/>
  <c r="G983" i="10"/>
  <c r="J983" i="10" s="1"/>
  <c r="G967" i="10"/>
  <c r="G951" i="10"/>
  <c r="G935" i="10"/>
  <c r="G919" i="10"/>
  <c r="J919" i="10" s="1"/>
  <c r="G895" i="10"/>
  <c r="H895" i="10" s="1"/>
  <c r="G850" i="10"/>
  <c r="G734" i="10"/>
  <c r="G995" i="10"/>
  <c r="J995" i="10" s="1"/>
  <c r="G979" i="10"/>
  <c r="G963" i="10"/>
  <c r="G947" i="10"/>
  <c r="G931" i="10"/>
  <c r="J931" i="10" s="1"/>
  <c r="G915" i="10"/>
  <c r="H915" i="10" s="1"/>
  <c r="G887" i="10"/>
  <c r="G834" i="10"/>
  <c r="G691" i="10"/>
  <c r="J691" i="10" s="1"/>
  <c r="G1137" i="10"/>
  <c r="G1135" i="10"/>
  <c r="G1133" i="10"/>
  <c r="G1131" i="10"/>
  <c r="J1131" i="10" s="1"/>
  <c r="G1129" i="10"/>
  <c r="H1129" i="10" s="1"/>
  <c r="G1127" i="10"/>
  <c r="G1125" i="10"/>
  <c r="G1123" i="10"/>
  <c r="J1123" i="10" s="1"/>
  <c r="G1121" i="10"/>
  <c r="G1119" i="10"/>
  <c r="G1117" i="10"/>
  <c r="G1115" i="10"/>
  <c r="J1115" i="10" s="1"/>
  <c r="G1113" i="10"/>
  <c r="H1113" i="10" s="1"/>
  <c r="G1111" i="10"/>
  <c r="G1109" i="10"/>
  <c r="G1107" i="10"/>
  <c r="J1107" i="10" s="1"/>
  <c r="G1105" i="10"/>
  <c r="G1103" i="10"/>
  <c r="G1101" i="10"/>
  <c r="G1099" i="10"/>
  <c r="J1099" i="10" s="1"/>
  <c r="G1097" i="10"/>
  <c r="H1097" i="10" s="1"/>
  <c r="G1095" i="10"/>
  <c r="G1093" i="10"/>
  <c r="G1091" i="10"/>
  <c r="J1091" i="10" s="1"/>
  <c r="G1089" i="10"/>
  <c r="G1087" i="10"/>
  <c r="G1085" i="10"/>
  <c r="G1083" i="10"/>
  <c r="J1083" i="10" s="1"/>
  <c r="G1081" i="10"/>
  <c r="H1081" i="10" s="1"/>
  <c r="G1079" i="10"/>
  <c r="G1077" i="10"/>
  <c r="G1075" i="10"/>
  <c r="J1075" i="10" s="1"/>
  <c r="G1073" i="10"/>
  <c r="G1071" i="10"/>
  <c r="G1069" i="10"/>
  <c r="G1067" i="10"/>
  <c r="J1067" i="10" s="1"/>
  <c r="G1065" i="10"/>
  <c r="H1065" i="10" s="1"/>
  <c r="G1063" i="10"/>
  <c r="G1061" i="10"/>
  <c r="G1059" i="10"/>
  <c r="J1059" i="10" s="1"/>
  <c r="G1057" i="10"/>
  <c r="G1055" i="10"/>
  <c r="G1053" i="10"/>
  <c r="G1051" i="10"/>
  <c r="J1051" i="10" s="1"/>
  <c r="G1049" i="10"/>
  <c r="H1049" i="10" s="1"/>
  <c r="G1047" i="10"/>
  <c r="G1045" i="10"/>
  <c r="G1043" i="10"/>
  <c r="J1043" i="10" s="1"/>
  <c r="G1041" i="10"/>
  <c r="G1039" i="10"/>
  <c r="G1037" i="10"/>
  <c r="G1035" i="10"/>
  <c r="J1035" i="10" s="1"/>
  <c r="G1033" i="10"/>
  <c r="H1033" i="10" s="1"/>
  <c r="G1031" i="10"/>
  <c r="G1029" i="10"/>
  <c r="G1027" i="10"/>
  <c r="J1027" i="10" s="1"/>
  <c r="G1025" i="10"/>
  <c r="G1023" i="10"/>
  <c r="G1021" i="10"/>
  <c r="G1019" i="10"/>
  <c r="J1019" i="10" s="1"/>
  <c r="G1017" i="10"/>
  <c r="H1017" i="10" s="1"/>
  <c r="G1015" i="10"/>
  <c r="G1013" i="10"/>
  <c r="G1011" i="10"/>
  <c r="J1011" i="10" s="1"/>
  <c r="G1009" i="10"/>
  <c r="G1007" i="10"/>
  <c r="G1005" i="10"/>
  <c r="G1002" i="10"/>
  <c r="J1002" i="10" s="1"/>
  <c r="G998" i="10"/>
  <c r="H998" i="10" s="1"/>
  <c r="G994" i="10"/>
  <c r="G990" i="10"/>
  <c r="G986" i="10"/>
  <c r="J986" i="10" s="1"/>
  <c r="G982" i="10"/>
  <c r="G978" i="10"/>
  <c r="G974" i="10"/>
  <c r="G970" i="10"/>
  <c r="J970" i="10" s="1"/>
  <c r="G966" i="10"/>
  <c r="H966" i="10" s="1"/>
  <c r="G962" i="10"/>
  <c r="G958" i="10"/>
  <c r="G954" i="10"/>
  <c r="J954" i="10" s="1"/>
  <c r="G950" i="10"/>
  <c r="G946" i="10"/>
  <c r="G942" i="10"/>
  <c r="G938" i="10"/>
  <c r="J938" i="10" s="1"/>
  <c r="G934" i="10"/>
  <c r="H934" i="10" s="1"/>
  <c r="G930" i="10"/>
  <c r="G926" i="10"/>
  <c r="G922" i="10"/>
  <c r="J922" i="10" s="1"/>
  <c r="G918" i="10"/>
  <c r="G914" i="10"/>
  <c r="G909" i="10"/>
  <c r="G901" i="10"/>
  <c r="J901" i="10" s="1"/>
  <c r="G893" i="10"/>
  <c r="H893" i="10" s="1"/>
  <c r="G885" i="10"/>
  <c r="G876" i="10"/>
  <c r="G862" i="10"/>
  <c r="J862" i="10" s="1"/>
  <c r="G846" i="10"/>
  <c r="G830" i="10"/>
  <c r="G806" i="10"/>
  <c r="G766" i="10"/>
  <c r="J766" i="10" s="1"/>
  <c r="G723" i="10"/>
  <c r="H723" i="10" s="1"/>
  <c r="G1001" i="10"/>
  <c r="G997" i="10"/>
  <c r="G993" i="10"/>
  <c r="J993" i="10" s="1"/>
  <c r="G989" i="10"/>
  <c r="G985" i="10"/>
  <c r="G981" i="10"/>
  <c r="G977" i="10"/>
  <c r="J977" i="10" s="1"/>
  <c r="G973" i="10"/>
  <c r="H973" i="10" s="1"/>
  <c r="G969" i="10"/>
  <c r="G965" i="10"/>
  <c r="G961" i="10"/>
  <c r="J961" i="10" s="1"/>
  <c r="G957" i="10"/>
  <c r="G953" i="10"/>
  <c r="G949" i="10"/>
  <c r="G945" i="10"/>
  <c r="J945" i="10" s="1"/>
  <c r="G941" i="10"/>
  <c r="H941" i="10" s="1"/>
  <c r="G937" i="10"/>
  <c r="G933" i="10"/>
  <c r="G929" i="10"/>
  <c r="J929" i="10" s="1"/>
  <c r="G925" i="10"/>
  <c r="G921" i="10"/>
  <c r="G917" i="10"/>
  <c r="G913" i="10"/>
  <c r="J913" i="10" s="1"/>
  <c r="G907" i="10"/>
  <c r="H907" i="10" s="1"/>
  <c r="G899" i="10"/>
  <c r="G891" i="10"/>
  <c r="G883" i="10"/>
  <c r="J883" i="10" s="1"/>
  <c r="G858" i="10"/>
  <c r="G842" i="10"/>
  <c r="G826" i="10"/>
  <c r="G798" i="10"/>
  <c r="J798" i="10" s="1"/>
  <c r="G755" i="10"/>
  <c r="I755" i="10" s="1"/>
  <c r="G670" i="10"/>
  <c r="G1138" i="10"/>
  <c r="G1136" i="10"/>
  <c r="I1136" i="10" s="1"/>
  <c r="G1134" i="10"/>
  <c r="G1132" i="10"/>
  <c r="G1130" i="10"/>
  <c r="G1128" i="10"/>
  <c r="J1128" i="10" s="1"/>
  <c r="G1126" i="10"/>
  <c r="H1126" i="10" s="1"/>
  <c r="G1124" i="10"/>
  <c r="G1122" i="10"/>
  <c r="G1120" i="10"/>
  <c r="I1120" i="10" s="1"/>
  <c r="G1118" i="10"/>
  <c r="G1116" i="10"/>
  <c r="G1114" i="10"/>
  <c r="G1112" i="10"/>
  <c r="J1112" i="10" s="1"/>
  <c r="G1110" i="10"/>
  <c r="H1110" i="10" s="1"/>
  <c r="G1108" i="10"/>
  <c r="G1106" i="10"/>
  <c r="G1104" i="10"/>
  <c r="I1104" i="10" s="1"/>
  <c r="G1102" i="10"/>
  <c r="G1100" i="10"/>
  <c r="G1098" i="10"/>
  <c r="G1096" i="10"/>
  <c r="J1096" i="10" s="1"/>
  <c r="G1094" i="10"/>
  <c r="H1094" i="10" s="1"/>
  <c r="G1092" i="10"/>
  <c r="G1090" i="10"/>
  <c r="G1088" i="10"/>
  <c r="I1088" i="10" s="1"/>
  <c r="G1086" i="10"/>
  <c r="G1084" i="10"/>
  <c r="G1082" i="10"/>
  <c r="G1080" i="10"/>
  <c r="J1080" i="10" s="1"/>
  <c r="G1078" i="10"/>
  <c r="H1078" i="10" s="1"/>
  <c r="G1076" i="10"/>
  <c r="G1074" i="10"/>
  <c r="G1072" i="10"/>
  <c r="I1072" i="10" s="1"/>
  <c r="G1070" i="10"/>
  <c r="G1068" i="10"/>
  <c r="G1066" i="10"/>
  <c r="G1064" i="10"/>
  <c r="J1064" i="10" s="1"/>
  <c r="G1062" i="10"/>
  <c r="H1062" i="10" s="1"/>
  <c r="G1060" i="10"/>
  <c r="G1058" i="10"/>
  <c r="G1056" i="10"/>
  <c r="I1056" i="10" s="1"/>
  <c r="G1054" i="10"/>
  <c r="G1052" i="10"/>
  <c r="G1050" i="10"/>
  <c r="G1048" i="10"/>
  <c r="J1048" i="10" s="1"/>
  <c r="G1046" i="10"/>
  <c r="H1046" i="10" s="1"/>
  <c r="G1044" i="10"/>
  <c r="G1042" i="10"/>
  <c r="G1040" i="10"/>
  <c r="I1040" i="10" s="1"/>
  <c r="G1038" i="10"/>
  <c r="G1036" i="10"/>
  <c r="G1034" i="10"/>
  <c r="G1032" i="10"/>
  <c r="J1032" i="10" s="1"/>
  <c r="G1030" i="10"/>
  <c r="H1030" i="10" s="1"/>
  <c r="G1028" i="10"/>
  <c r="G1026" i="10"/>
  <c r="G1024" i="10"/>
  <c r="I1024" i="10" s="1"/>
  <c r="G1022" i="10"/>
  <c r="G1020" i="10"/>
  <c r="G1018" i="10"/>
  <c r="G1016" i="10"/>
  <c r="J1016" i="10" s="1"/>
  <c r="G1014" i="10"/>
  <c r="H1014" i="10" s="1"/>
  <c r="G1012" i="10"/>
  <c r="G1010" i="10"/>
  <c r="G1008" i="10"/>
  <c r="I1008" i="10" s="1"/>
  <c r="G1006" i="10"/>
  <c r="G1004" i="10"/>
  <c r="G1000" i="10"/>
  <c r="G996" i="10"/>
  <c r="J996" i="10" s="1"/>
  <c r="G992" i="10"/>
  <c r="H992" i="10" s="1"/>
  <c r="G988" i="10"/>
  <c r="G984" i="10"/>
  <c r="G980" i="10"/>
  <c r="J980" i="10" s="1"/>
  <c r="G976" i="10"/>
  <c r="G972" i="10"/>
  <c r="G968" i="10"/>
  <c r="G964" i="10"/>
  <c r="J964" i="10" s="1"/>
  <c r="G960" i="10"/>
  <c r="H960" i="10" s="1"/>
  <c r="G956" i="10"/>
  <c r="G952" i="10"/>
  <c r="G948" i="10"/>
  <c r="J948" i="10" s="1"/>
  <c r="G944" i="10"/>
  <c r="G940" i="10"/>
  <c r="G936" i="10"/>
  <c r="G932" i="10"/>
  <c r="J932" i="10" s="1"/>
  <c r="G928" i="10"/>
  <c r="H928" i="10" s="1"/>
  <c r="G924" i="10"/>
  <c r="G920" i="10"/>
  <c r="G916" i="10"/>
  <c r="J916" i="10" s="1"/>
  <c r="G912" i="10"/>
  <c r="G905" i="10"/>
  <c r="G897" i="10"/>
  <c r="G889" i="10"/>
  <c r="J889" i="10" s="1"/>
  <c r="G881" i="10"/>
  <c r="H881" i="10" s="1"/>
  <c r="G870" i="10"/>
  <c r="G854" i="10"/>
  <c r="G838" i="10"/>
  <c r="J838" i="10" s="1"/>
  <c r="G822" i="10"/>
  <c r="G787" i="10"/>
  <c r="G702" i="10"/>
  <c r="G878" i="10"/>
  <c r="J878" i="10" s="1"/>
  <c r="G873" i="10"/>
  <c r="I873" i="10" s="1"/>
  <c r="G869" i="10"/>
  <c r="G865" i="10"/>
  <c r="G861" i="10"/>
  <c r="J861" i="10" s="1"/>
  <c r="G857" i="10"/>
  <c r="G853" i="10"/>
  <c r="G849" i="10"/>
  <c r="G845" i="10"/>
  <c r="J845" i="10" s="1"/>
  <c r="G841" i="10"/>
  <c r="H841" i="10" s="1"/>
  <c r="G837" i="10"/>
  <c r="G833" i="10"/>
  <c r="G829" i="10"/>
  <c r="J829" i="10" s="1"/>
  <c r="G825" i="10"/>
  <c r="G820" i="10"/>
  <c r="G812" i="10"/>
  <c r="G804" i="10"/>
  <c r="J804" i="10" s="1"/>
  <c r="G795" i="10"/>
  <c r="H795" i="10" s="1"/>
  <c r="G774" i="10"/>
  <c r="G763" i="10"/>
  <c r="G742" i="10"/>
  <c r="J742" i="10" s="1"/>
  <c r="G731" i="10"/>
  <c r="G710" i="10"/>
  <c r="G699" i="10"/>
  <c r="G678" i="10"/>
  <c r="J678" i="10" s="1"/>
  <c r="G667" i="10"/>
  <c r="H667" i="10" s="1"/>
  <c r="G910" i="10"/>
  <c r="G908" i="10"/>
  <c r="G906" i="10"/>
  <c r="G904" i="10"/>
  <c r="G902" i="10"/>
  <c r="G900" i="10"/>
  <c r="G898" i="10"/>
  <c r="G896" i="10"/>
  <c r="G894" i="10"/>
  <c r="G892" i="10"/>
  <c r="G890" i="10"/>
  <c r="G888" i="10"/>
  <c r="G886" i="10"/>
  <c r="G884" i="10"/>
  <c r="G882" i="10"/>
  <c r="G880" i="10"/>
  <c r="G875" i="10"/>
  <c r="G872" i="10"/>
  <c r="G868" i="10"/>
  <c r="G864" i="10"/>
  <c r="G860" i="10"/>
  <c r="G856" i="10"/>
  <c r="G852" i="10"/>
  <c r="G848" i="10"/>
  <c r="G844" i="10"/>
  <c r="G840" i="10"/>
  <c r="G836" i="10"/>
  <c r="G832" i="10"/>
  <c r="G828" i="10"/>
  <c r="G824" i="10"/>
  <c r="G818" i="10"/>
  <c r="G810" i="10"/>
  <c r="G802" i="10"/>
  <c r="G782" i="10"/>
  <c r="G771" i="10"/>
  <c r="G750" i="10"/>
  <c r="G739" i="10"/>
  <c r="G718" i="10"/>
  <c r="G707" i="10"/>
  <c r="G686" i="10"/>
  <c r="G675" i="10"/>
  <c r="G877" i="10"/>
  <c r="G874" i="10"/>
  <c r="G871" i="10"/>
  <c r="G867" i="10"/>
  <c r="G863" i="10"/>
  <c r="G859" i="10"/>
  <c r="G855" i="10"/>
  <c r="G851" i="10"/>
  <c r="G847" i="10"/>
  <c r="G843" i="10"/>
  <c r="G839" i="10"/>
  <c r="G835" i="10"/>
  <c r="G831" i="10"/>
  <c r="G827" i="10"/>
  <c r="G823" i="10"/>
  <c r="G816" i="10"/>
  <c r="G808" i="10"/>
  <c r="G800" i="10"/>
  <c r="G790" i="10"/>
  <c r="G779" i="10"/>
  <c r="G758" i="10"/>
  <c r="G747" i="10"/>
  <c r="G726" i="10"/>
  <c r="G715" i="10"/>
  <c r="G694" i="10"/>
  <c r="G683" i="10"/>
  <c r="G662" i="10"/>
  <c r="G797" i="10"/>
  <c r="G792" i="10"/>
  <c r="G789" i="10"/>
  <c r="G784" i="10"/>
  <c r="G781" i="10"/>
  <c r="G776" i="10"/>
  <c r="G773" i="10"/>
  <c r="G768" i="10"/>
  <c r="G765" i="10"/>
  <c r="G760" i="10"/>
  <c r="G757" i="10"/>
  <c r="G752" i="10"/>
  <c r="G749" i="10"/>
  <c r="G744" i="10"/>
  <c r="G741" i="10"/>
  <c r="G736" i="10"/>
  <c r="G733" i="10"/>
  <c r="G728" i="10"/>
  <c r="G725" i="10"/>
  <c r="G720" i="10"/>
  <c r="G717" i="10"/>
  <c r="G712" i="10"/>
  <c r="G709" i="10"/>
  <c r="G704" i="10"/>
  <c r="G701" i="10"/>
  <c r="G696" i="10"/>
  <c r="G693" i="10"/>
  <c r="G688" i="10"/>
  <c r="G685" i="10"/>
  <c r="G680" i="10"/>
  <c r="G677" i="10"/>
  <c r="G672" i="10"/>
  <c r="G669" i="10"/>
  <c r="G664" i="10"/>
  <c r="G661" i="10"/>
  <c r="G658" i="10"/>
  <c r="G821" i="10"/>
  <c r="G819" i="10"/>
  <c r="G817" i="10"/>
  <c r="G815" i="10"/>
  <c r="G813" i="10"/>
  <c r="G811" i="10"/>
  <c r="G809" i="10"/>
  <c r="G807" i="10"/>
  <c r="G805" i="10"/>
  <c r="G803" i="10"/>
  <c r="G801" i="10"/>
  <c r="G799" i="10"/>
  <c r="G794" i="10"/>
  <c r="G791" i="10"/>
  <c r="G786" i="10"/>
  <c r="G783" i="10"/>
  <c r="G778" i="10"/>
  <c r="G775" i="10"/>
  <c r="G770" i="10"/>
  <c r="G767" i="10"/>
  <c r="G762" i="10"/>
  <c r="G759" i="10"/>
  <c r="G754" i="10"/>
  <c r="G751" i="10"/>
  <c r="G746" i="10"/>
  <c r="G743" i="10"/>
  <c r="G738" i="10"/>
  <c r="G735" i="10"/>
  <c r="G730" i="10"/>
  <c r="G727" i="10"/>
  <c r="G722" i="10"/>
  <c r="G719" i="10"/>
  <c r="G714" i="10"/>
  <c r="G711" i="10"/>
  <c r="G706" i="10"/>
  <c r="G703" i="10"/>
  <c r="G698" i="10"/>
  <c r="G695" i="10"/>
  <c r="G690" i="10"/>
  <c r="G687" i="10"/>
  <c r="G682" i="10"/>
  <c r="G679" i="10"/>
  <c r="G674" i="10"/>
  <c r="G671" i="10"/>
  <c r="G666" i="10"/>
  <c r="G663" i="10"/>
  <c r="G796" i="10"/>
  <c r="G793" i="10"/>
  <c r="G788" i="10"/>
  <c r="G785" i="10"/>
  <c r="G780" i="10"/>
  <c r="G777" i="10"/>
  <c r="G772" i="10"/>
  <c r="G769" i="10"/>
  <c r="G764" i="10"/>
  <c r="G761" i="10"/>
  <c r="G756" i="10"/>
  <c r="G753" i="10"/>
  <c r="G748" i="10"/>
  <c r="G745" i="10"/>
  <c r="G740" i="10"/>
  <c r="G737" i="10"/>
  <c r="G732" i="10"/>
  <c r="G729" i="10"/>
  <c r="G724" i="10"/>
  <c r="G721" i="10"/>
  <c r="G716" i="10"/>
  <c r="G713" i="10"/>
  <c r="G708" i="10"/>
  <c r="G705" i="10"/>
  <c r="G700" i="10"/>
  <c r="G697" i="10"/>
  <c r="G692" i="10"/>
  <c r="G689" i="10"/>
  <c r="G684" i="10"/>
  <c r="G681" i="10"/>
  <c r="G676" i="10"/>
  <c r="G673" i="10"/>
  <c r="G668" i="10"/>
  <c r="G665" i="10"/>
  <c r="G660" i="10"/>
  <c r="G656" i="10"/>
  <c r="G654" i="10"/>
  <c r="G652" i="10"/>
  <c r="G650" i="10"/>
  <c r="G648" i="10"/>
  <c r="G646" i="10"/>
  <c r="G644" i="10"/>
  <c r="G642" i="10"/>
  <c r="G640" i="10"/>
  <c r="G638" i="10"/>
  <c r="G636" i="10"/>
  <c r="G634" i="10"/>
  <c r="G632" i="10"/>
  <c r="G630" i="10"/>
  <c r="G659" i="10"/>
  <c r="G1186" i="10"/>
  <c r="G1180" i="10"/>
  <c r="G1176" i="10"/>
  <c r="G1172" i="10"/>
  <c r="G1170" i="10"/>
  <c r="G1166" i="10"/>
  <c r="G1164" i="10"/>
  <c r="G1162" i="10"/>
  <c r="G1160" i="10"/>
  <c r="G1158" i="10"/>
  <c r="G1156" i="10"/>
  <c r="G1154" i="10"/>
  <c r="G1152" i="10"/>
  <c r="G1150" i="10"/>
  <c r="G1148" i="10"/>
  <c r="G1146" i="10"/>
  <c r="G1144" i="10"/>
  <c r="G1142" i="10"/>
  <c r="G1140" i="10"/>
  <c r="G1184" i="10"/>
  <c r="G1182" i="10"/>
  <c r="G1178" i="10"/>
  <c r="G1174" i="10"/>
  <c r="G1168" i="10"/>
  <c r="G1187" i="10"/>
  <c r="G1185" i="10"/>
  <c r="G1183" i="10"/>
  <c r="G1181" i="10"/>
  <c r="G1179" i="10"/>
  <c r="G1177" i="10"/>
  <c r="G1175" i="10"/>
  <c r="G1173" i="10"/>
  <c r="G1171" i="10"/>
  <c r="G1169" i="10"/>
  <c r="H1186" i="10"/>
  <c r="I1186" i="10"/>
  <c r="J1186" i="10"/>
  <c r="I1180" i="10"/>
  <c r="J1180" i="10"/>
  <c r="H1180" i="10"/>
  <c r="I1176" i="10"/>
  <c r="J1176" i="10"/>
  <c r="H1176" i="10"/>
  <c r="I1172" i="10"/>
  <c r="J1172" i="10"/>
  <c r="H1172" i="10"/>
  <c r="H1170" i="10"/>
  <c r="I1170" i="10"/>
  <c r="J1170" i="10"/>
  <c r="I1166" i="10"/>
  <c r="H1166" i="10"/>
  <c r="J1166" i="10"/>
  <c r="I1164" i="10"/>
  <c r="J1164" i="10"/>
  <c r="H1164" i="10"/>
  <c r="H1162" i="10"/>
  <c r="I1162" i="10"/>
  <c r="J1162" i="10"/>
  <c r="I1160" i="10"/>
  <c r="J1160" i="10"/>
  <c r="H1160" i="10"/>
  <c r="H1158" i="10"/>
  <c r="I1158" i="10"/>
  <c r="J1158" i="10"/>
  <c r="I1156" i="10"/>
  <c r="J1156" i="10"/>
  <c r="H1156" i="10"/>
  <c r="I1154" i="10"/>
  <c r="H1154" i="10"/>
  <c r="J1154" i="10"/>
  <c r="I1152" i="10"/>
  <c r="J1152" i="10"/>
  <c r="H1152" i="10"/>
  <c r="H1150" i="10"/>
  <c r="I1150" i="10"/>
  <c r="J1150" i="10"/>
  <c r="I1148" i="10"/>
  <c r="J1148" i="10"/>
  <c r="H1148" i="10"/>
  <c r="H1146" i="10"/>
  <c r="I1146" i="10"/>
  <c r="J1146" i="10"/>
  <c r="I1144" i="10"/>
  <c r="J1144" i="10"/>
  <c r="H1144" i="10"/>
  <c r="H1142" i="10"/>
  <c r="I1142" i="10"/>
  <c r="J1142" i="10"/>
  <c r="I1140" i="10"/>
  <c r="J1140" i="10"/>
  <c r="H1140" i="10"/>
  <c r="I1184" i="10"/>
  <c r="J1184" i="10"/>
  <c r="H1184" i="10"/>
  <c r="I1182" i="10"/>
  <c r="H1182" i="10"/>
  <c r="J1182" i="10"/>
  <c r="H1178" i="10"/>
  <c r="I1178" i="10"/>
  <c r="J1178" i="10"/>
  <c r="H1174" i="10"/>
  <c r="I1174" i="10"/>
  <c r="J1174" i="10"/>
  <c r="I1168" i="10"/>
  <c r="J1168" i="10"/>
  <c r="H1168" i="10"/>
  <c r="J1187" i="10"/>
  <c r="H1187" i="10"/>
  <c r="I1187" i="10"/>
  <c r="H1185" i="10"/>
  <c r="J1185" i="10"/>
  <c r="I1185" i="10"/>
  <c r="J1183" i="10"/>
  <c r="H1183" i="10"/>
  <c r="I1183" i="10"/>
  <c r="H1181" i="10"/>
  <c r="I1181" i="10"/>
  <c r="J1181" i="10"/>
  <c r="J1179" i="10"/>
  <c r="H1179" i="10"/>
  <c r="I1179" i="10"/>
  <c r="H1177" i="10"/>
  <c r="J1177" i="10"/>
  <c r="I1177" i="10"/>
  <c r="J1175" i="10"/>
  <c r="H1175" i="10"/>
  <c r="I1175" i="10"/>
  <c r="H1173" i="10"/>
  <c r="I1173" i="10"/>
  <c r="J1173" i="10"/>
  <c r="J1171" i="10"/>
  <c r="H1171" i="10"/>
  <c r="I1171" i="10"/>
  <c r="H1169" i="10"/>
  <c r="I1169" i="10"/>
  <c r="J1169" i="10"/>
  <c r="G1167" i="10"/>
  <c r="G1165" i="10"/>
  <c r="G1163" i="10"/>
  <c r="G1161" i="10"/>
  <c r="G1159" i="10"/>
  <c r="G1157" i="10"/>
  <c r="G1155" i="10"/>
  <c r="G1153" i="10"/>
  <c r="G1151" i="10"/>
  <c r="G1149" i="10"/>
  <c r="G1147" i="10"/>
  <c r="G1145" i="10"/>
  <c r="G1143" i="10"/>
  <c r="G1141" i="10"/>
  <c r="G1139" i="10"/>
  <c r="H991" i="10"/>
  <c r="I991" i="10"/>
  <c r="J991" i="10"/>
  <c r="H927" i="10"/>
  <c r="I927" i="10"/>
  <c r="H911" i="10"/>
  <c r="I911" i="10"/>
  <c r="J911" i="10"/>
  <c r="H959" i="10"/>
  <c r="I959" i="10"/>
  <c r="J959" i="10"/>
  <c r="I943" i="10"/>
  <c r="J943" i="10"/>
  <c r="I814" i="10"/>
  <c r="J814" i="10"/>
  <c r="H814" i="10"/>
  <c r="H1003" i="10"/>
  <c r="I1003" i="10"/>
  <c r="J1003" i="10"/>
  <c r="H987" i="10"/>
  <c r="I987" i="10"/>
  <c r="H955" i="10"/>
  <c r="I955" i="10"/>
  <c r="J955" i="10"/>
  <c r="H939" i="10"/>
  <c r="I939" i="10"/>
  <c r="J939" i="10"/>
  <c r="I903" i="10"/>
  <c r="J903" i="10"/>
  <c r="H866" i="10"/>
  <c r="I866" i="10"/>
  <c r="J866" i="10"/>
  <c r="H999" i="10"/>
  <c r="I999" i="10"/>
  <c r="J999" i="10"/>
  <c r="H983" i="10"/>
  <c r="I983" i="10"/>
  <c r="H951" i="10"/>
  <c r="I951" i="10"/>
  <c r="J951" i="10"/>
  <c r="H935" i="10"/>
  <c r="I935" i="10"/>
  <c r="J935" i="10"/>
  <c r="I895" i="10"/>
  <c r="J895" i="10"/>
  <c r="H850" i="10"/>
  <c r="I850" i="10"/>
  <c r="J850" i="10"/>
  <c r="I734" i="10"/>
  <c r="H734" i="10"/>
  <c r="J734" i="10"/>
  <c r="H995" i="10"/>
  <c r="I995" i="10"/>
  <c r="H963" i="10"/>
  <c r="I963" i="10"/>
  <c r="J963" i="10"/>
  <c r="H947" i="10"/>
  <c r="I947" i="10"/>
  <c r="J947" i="10"/>
  <c r="I915" i="10"/>
  <c r="J915" i="10"/>
  <c r="H887" i="10"/>
  <c r="I887" i="10"/>
  <c r="J887" i="10"/>
  <c r="I834" i="10"/>
  <c r="H834" i="10"/>
  <c r="J834" i="10"/>
  <c r="H691" i="10"/>
  <c r="I691" i="10"/>
  <c r="H1135" i="10"/>
  <c r="I1135" i="10"/>
  <c r="J1135" i="10"/>
  <c r="H1133" i="10"/>
  <c r="I1133" i="10"/>
  <c r="J1133" i="10"/>
  <c r="I1129" i="10"/>
  <c r="J1129" i="10"/>
  <c r="H1127" i="10"/>
  <c r="I1127" i="10"/>
  <c r="J1127" i="10"/>
  <c r="H1125" i="10"/>
  <c r="I1125" i="10"/>
  <c r="J1125" i="10"/>
  <c r="H1123" i="10"/>
  <c r="I1123" i="10"/>
  <c r="H1119" i="10"/>
  <c r="I1119" i="10"/>
  <c r="J1119" i="10"/>
  <c r="H1117" i="10"/>
  <c r="I1117" i="10"/>
  <c r="J1117" i="10"/>
  <c r="I1113" i="10"/>
  <c r="J1113" i="10"/>
  <c r="H1111" i="10"/>
  <c r="I1111" i="10"/>
  <c r="J1111" i="10"/>
  <c r="H1109" i="10"/>
  <c r="I1109" i="10"/>
  <c r="J1109" i="10"/>
  <c r="H1107" i="10"/>
  <c r="I1107" i="10"/>
  <c r="H1103" i="10"/>
  <c r="I1103" i="10"/>
  <c r="J1103" i="10"/>
  <c r="H1101" i="10"/>
  <c r="I1101" i="10"/>
  <c r="J1101" i="10"/>
  <c r="I1097" i="10"/>
  <c r="J1097" i="10"/>
  <c r="H1095" i="10"/>
  <c r="I1095" i="10"/>
  <c r="J1095" i="10"/>
  <c r="H1093" i="10"/>
  <c r="I1093" i="10"/>
  <c r="J1093" i="10"/>
  <c r="H1091" i="10"/>
  <c r="I1091" i="10"/>
  <c r="H1087" i="10"/>
  <c r="I1087" i="10"/>
  <c r="J1087" i="10"/>
  <c r="H1085" i="10"/>
  <c r="I1085" i="10"/>
  <c r="J1085" i="10"/>
  <c r="I1081" i="10"/>
  <c r="J1081" i="10"/>
  <c r="H1079" i="10"/>
  <c r="I1079" i="10"/>
  <c r="J1079" i="10"/>
  <c r="H1077" i="10"/>
  <c r="I1077" i="10"/>
  <c r="J1077" i="10"/>
  <c r="H1075" i="10"/>
  <c r="I1075" i="10"/>
  <c r="H1071" i="10"/>
  <c r="I1071" i="10"/>
  <c r="J1071" i="10"/>
  <c r="H1069" i="10"/>
  <c r="I1069" i="10"/>
  <c r="J1069" i="10"/>
  <c r="I1065" i="10"/>
  <c r="J1065" i="10"/>
  <c r="H1063" i="10"/>
  <c r="I1063" i="10"/>
  <c r="J1063" i="10"/>
  <c r="H1061" i="10"/>
  <c r="I1061" i="10"/>
  <c r="J1061" i="10"/>
  <c r="H1059" i="10"/>
  <c r="I1059" i="10"/>
  <c r="H1055" i="10"/>
  <c r="I1055" i="10"/>
  <c r="J1055" i="10"/>
  <c r="H1053" i="10"/>
  <c r="I1053" i="10"/>
  <c r="J1053" i="10"/>
  <c r="I1049" i="10"/>
  <c r="J1049" i="10"/>
  <c r="H1047" i="10"/>
  <c r="I1047" i="10"/>
  <c r="J1047" i="10"/>
  <c r="H1045" i="10"/>
  <c r="I1045" i="10"/>
  <c r="J1045" i="10"/>
  <c r="H1043" i="10"/>
  <c r="I1043" i="10"/>
  <c r="H1039" i="10"/>
  <c r="I1039" i="10"/>
  <c r="J1039" i="10"/>
  <c r="H1037" i="10"/>
  <c r="I1037" i="10"/>
  <c r="J1037" i="10"/>
  <c r="I1033" i="10"/>
  <c r="J1033" i="10"/>
  <c r="H1031" i="10"/>
  <c r="I1031" i="10"/>
  <c r="J1031" i="10"/>
  <c r="H1029" i="10"/>
  <c r="I1029" i="10"/>
  <c r="J1029" i="10"/>
  <c r="H1027" i="10"/>
  <c r="I1027" i="10"/>
  <c r="H1023" i="10"/>
  <c r="I1023" i="10"/>
  <c r="J1023" i="10"/>
  <c r="H1021" i="10"/>
  <c r="I1021" i="10"/>
  <c r="J1021" i="10"/>
  <c r="I1017" i="10"/>
  <c r="J1017" i="10"/>
  <c r="H1015" i="10"/>
  <c r="I1015" i="10"/>
  <c r="J1015" i="10"/>
  <c r="H1013" i="10"/>
  <c r="I1013" i="10"/>
  <c r="J1013" i="10"/>
  <c r="H1011" i="10"/>
  <c r="I1011" i="10"/>
  <c r="H1007" i="10"/>
  <c r="I1007" i="10"/>
  <c r="J1007" i="10"/>
  <c r="H1005" i="10"/>
  <c r="I1005" i="10"/>
  <c r="J1005" i="10"/>
  <c r="I998" i="10"/>
  <c r="J998" i="10"/>
  <c r="H994" i="10"/>
  <c r="I994" i="10"/>
  <c r="J994" i="10"/>
  <c r="I990" i="10"/>
  <c r="H990" i="10"/>
  <c r="J990" i="10"/>
  <c r="I986" i="10"/>
  <c r="H986" i="10"/>
  <c r="H978" i="10"/>
  <c r="I978" i="10"/>
  <c r="J978" i="10"/>
  <c r="I974" i="10"/>
  <c r="J974" i="10"/>
  <c r="H974" i="10"/>
  <c r="I966" i="10"/>
  <c r="J966" i="10"/>
  <c r="H962" i="10"/>
  <c r="I962" i="10"/>
  <c r="J962" i="10"/>
  <c r="I958" i="10"/>
  <c r="H958" i="10"/>
  <c r="J958" i="10"/>
  <c r="I954" i="10"/>
  <c r="H954" i="10"/>
  <c r="H946" i="10"/>
  <c r="I946" i="10"/>
  <c r="J946" i="10"/>
  <c r="I942" i="10"/>
  <c r="J942" i="10"/>
  <c r="H942" i="10"/>
  <c r="I934" i="10"/>
  <c r="J934" i="10"/>
  <c r="H930" i="10"/>
  <c r="I930" i="10"/>
  <c r="J930" i="10"/>
  <c r="H926" i="10"/>
  <c r="I926" i="10"/>
  <c r="J926" i="10"/>
  <c r="H922" i="10"/>
  <c r="I922" i="10"/>
  <c r="H914" i="10"/>
  <c r="I914" i="10"/>
  <c r="J914" i="10"/>
  <c r="H909" i="10"/>
  <c r="I909" i="10"/>
  <c r="J909" i="10"/>
  <c r="I893" i="10"/>
  <c r="J893" i="10"/>
  <c r="H885" i="10"/>
  <c r="I885" i="10"/>
  <c r="J885" i="10"/>
  <c r="H876" i="10"/>
  <c r="J876" i="10"/>
  <c r="I876" i="10"/>
  <c r="H862" i="10"/>
  <c r="I862" i="10"/>
  <c r="I830" i="10"/>
  <c r="H830" i="10"/>
  <c r="J830" i="10"/>
  <c r="H806" i="10"/>
  <c r="I806" i="10"/>
  <c r="J806" i="10"/>
  <c r="I723" i="10"/>
  <c r="J723" i="10"/>
  <c r="H1001" i="10"/>
  <c r="I1001" i="10"/>
  <c r="J1001" i="10"/>
  <c r="H997" i="10"/>
  <c r="I997" i="10"/>
  <c r="J997" i="10"/>
  <c r="H993" i="10"/>
  <c r="I993" i="10"/>
  <c r="H985" i="10"/>
  <c r="I985" i="10"/>
  <c r="J985" i="10"/>
  <c r="H981" i="10"/>
  <c r="I981" i="10"/>
  <c r="J981" i="10"/>
  <c r="I973" i="10"/>
  <c r="J973" i="10"/>
  <c r="H969" i="10"/>
  <c r="I969" i="10"/>
  <c r="J969" i="10"/>
  <c r="H965" i="10"/>
  <c r="I965" i="10"/>
  <c r="J965" i="10"/>
  <c r="H961" i="10"/>
  <c r="I961" i="10"/>
  <c r="H953" i="10"/>
  <c r="I953" i="10"/>
  <c r="J953" i="10"/>
  <c r="H949" i="10"/>
  <c r="I949" i="10"/>
  <c r="J949" i="10"/>
  <c r="I941" i="10"/>
  <c r="J941" i="10"/>
  <c r="I937" i="10"/>
  <c r="H937" i="10"/>
  <c r="J937" i="10"/>
  <c r="H933" i="10"/>
  <c r="I933" i="10"/>
  <c r="J933" i="10"/>
  <c r="H929" i="10"/>
  <c r="I929" i="10"/>
  <c r="I921" i="10"/>
  <c r="H921" i="10"/>
  <c r="J921" i="10"/>
  <c r="H917" i="10"/>
  <c r="I917" i="10"/>
  <c r="J917" i="10"/>
  <c r="I907" i="10"/>
  <c r="J907" i="10"/>
  <c r="I899" i="10"/>
  <c r="J899" i="10"/>
  <c r="H899" i="10"/>
  <c r="H891" i="10"/>
  <c r="I891" i="10"/>
  <c r="J891" i="10"/>
  <c r="H883" i="10"/>
  <c r="I883" i="10"/>
  <c r="H842" i="10"/>
  <c r="I842" i="10"/>
  <c r="J842" i="10"/>
  <c r="H826" i="10"/>
  <c r="I826" i="10"/>
  <c r="J826" i="10"/>
  <c r="H755" i="10"/>
  <c r="J755" i="10"/>
  <c r="H670" i="10"/>
  <c r="I670" i="10"/>
  <c r="J670" i="10"/>
  <c r="H1138" i="10"/>
  <c r="I1138" i="10"/>
  <c r="J1138" i="10"/>
  <c r="H1136" i="10"/>
  <c r="J1136" i="10"/>
  <c r="H1132" i="10"/>
  <c r="J1132" i="10"/>
  <c r="I1132" i="10"/>
  <c r="I1130" i="10"/>
  <c r="H1130" i="10"/>
  <c r="J1130" i="10"/>
  <c r="I1126" i="10"/>
  <c r="J1126" i="10"/>
  <c r="H1124" i="10"/>
  <c r="I1124" i="10"/>
  <c r="J1124" i="10"/>
  <c r="H1122" i="10"/>
  <c r="I1122" i="10"/>
  <c r="J1122" i="10"/>
  <c r="H1120" i="10"/>
  <c r="J1120" i="10"/>
  <c r="H1116" i="10"/>
  <c r="J1116" i="10"/>
  <c r="I1116" i="10"/>
  <c r="I1114" i="10"/>
  <c r="H1114" i="10"/>
  <c r="J1114" i="10"/>
  <c r="I1110" i="10"/>
  <c r="J1110" i="10"/>
  <c r="H1108" i="10"/>
  <c r="I1108" i="10"/>
  <c r="J1108" i="10"/>
  <c r="H1106" i="10"/>
  <c r="I1106" i="10"/>
  <c r="J1106" i="10"/>
  <c r="H1104" i="10"/>
  <c r="J1104" i="10"/>
  <c r="H1100" i="10"/>
  <c r="J1100" i="10"/>
  <c r="I1100" i="10"/>
  <c r="I1098" i="10"/>
  <c r="H1098" i="10"/>
  <c r="J1098" i="10"/>
  <c r="I1094" i="10"/>
  <c r="J1094" i="10"/>
  <c r="H1092" i="10"/>
  <c r="I1092" i="10"/>
  <c r="J1092" i="10"/>
  <c r="H1090" i="10"/>
  <c r="I1090" i="10"/>
  <c r="J1090" i="10"/>
  <c r="H1088" i="10"/>
  <c r="J1088" i="10"/>
  <c r="H1084" i="10"/>
  <c r="J1084" i="10"/>
  <c r="I1084" i="10"/>
  <c r="I1082" i="10"/>
  <c r="H1082" i="10"/>
  <c r="J1082" i="10"/>
  <c r="I1078" i="10"/>
  <c r="J1078" i="10"/>
  <c r="H1076" i="10"/>
  <c r="I1076" i="10"/>
  <c r="J1076" i="10"/>
  <c r="H1074" i="10"/>
  <c r="I1074" i="10"/>
  <c r="J1074" i="10"/>
  <c r="H1072" i="10"/>
  <c r="J1072" i="10"/>
  <c r="H1068" i="10"/>
  <c r="J1068" i="10"/>
  <c r="I1068" i="10"/>
  <c r="I1066" i="10"/>
  <c r="H1066" i="10"/>
  <c r="J1066" i="10"/>
  <c r="I1062" i="10"/>
  <c r="J1062" i="10"/>
  <c r="H1060" i="10"/>
  <c r="I1060" i="10"/>
  <c r="J1060" i="10"/>
  <c r="H1058" i="10"/>
  <c r="I1058" i="10"/>
  <c r="J1058" i="10"/>
  <c r="H1056" i="10"/>
  <c r="J1056" i="10"/>
  <c r="H1052" i="10"/>
  <c r="J1052" i="10"/>
  <c r="I1052" i="10"/>
  <c r="I1050" i="10"/>
  <c r="H1050" i="10"/>
  <c r="J1050" i="10"/>
  <c r="I1046" i="10"/>
  <c r="J1046" i="10"/>
  <c r="H1044" i="10"/>
  <c r="I1044" i="10"/>
  <c r="J1044" i="10"/>
  <c r="H1042" i="10"/>
  <c r="I1042" i="10"/>
  <c r="J1042" i="10"/>
  <c r="H1040" i="10"/>
  <c r="J1040" i="10"/>
  <c r="H1036" i="10"/>
  <c r="J1036" i="10"/>
  <c r="I1036" i="10"/>
  <c r="I1034" i="10"/>
  <c r="H1034" i="10"/>
  <c r="J1034" i="10"/>
  <c r="I1030" i="10"/>
  <c r="J1030" i="10"/>
  <c r="H1028" i="10"/>
  <c r="I1028" i="10"/>
  <c r="J1028" i="10"/>
  <c r="H1026" i="10"/>
  <c r="I1026" i="10"/>
  <c r="J1026" i="10"/>
  <c r="H1024" i="10"/>
  <c r="J1024" i="10"/>
  <c r="H1020" i="10"/>
  <c r="J1020" i="10"/>
  <c r="I1020" i="10"/>
  <c r="I1018" i="10"/>
  <c r="H1018" i="10"/>
  <c r="J1018" i="10"/>
  <c r="I1014" i="10"/>
  <c r="J1014" i="10"/>
  <c r="H1012" i="10"/>
  <c r="I1012" i="10"/>
  <c r="J1012" i="10"/>
  <c r="H1010" i="10"/>
  <c r="I1010" i="10"/>
  <c r="J1010" i="10"/>
  <c r="H1008" i="10"/>
  <c r="J1008" i="10"/>
  <c r="H1004" i="10"/>
  <c r="J1004" i="10"/>
  <c r="I1004" i="10"/>
  <c r="H1000" i="10"/>
  <c r="I1000" i="10"/>
  <c r="J1000" i="10"/>
  <c r="J992" i="10"/>
  <c r="I992" i="10"/>
  <c r="H988" i="10"/>
  <c r="J988" i="10"/>
  <c r="I988" i="10"/>
  <c r="H984" i="10"/>
  <c r="I984" i="10"/>
  <c r="J984" i="10"/>
  <c r="H980" i="10"/>
  <c r="I980" i="10"/>
  <c r="H972" i="10"/>
  <c r="J972" i="10"/>
  <c r="I972" i="10"/>
  <c r="H968" i="10"/>
  <c r="I968" i="10"/>
  <c r="J968" i="10"/>
  <c r="J960" i="10"/>
  <c r="I960" i="10"/>
  <c r="H956" i="10"/>
  <c r="J956" i="10"/>
  <c r="I956" i="10"/>
  <c r="H952" i="10"/>
  <c r="I952" i="10"/>
  <c r="J952" i="10"/>
  <c r="H948" i="10"/>
  <c r="I948" i="10"/>
  <c r="H940" i="10"/>
  <c r="J940" i="10"/>
  <c r="I940" i="10"/>
  <c r="H936" i="10"/>
  <c r="I936" i="10"/>
  <c r="J936" i="10"/>
  <c r="J928" i="10"/>
  <c r="I928" i="10"/>
  <c r="H924" i="10"/>
  <c r="J924" i="10"/>
  <c r="I924" i="10"/>
  <c r="H920" i="10"/>
  <c r="I920" i="10"/>
  <c r="J920" i="10"/>
  <c r="H916" i="10"/>
  <c r="I916" i="10"/>
  <c r="H905" i="10"/>
  <c r="I905" i="10"/>
  <c r="J905" i="10"/>
  <c r="H897" i="10"/>
  <c r="I897" i="10"/>
  <c r="J897" i="10"/>
  <c r="I881" i="10"/>
  <c r="J881" i="10"/>
  <c r="H870" i="10"/>
  <c r="I870" i="10"/>
  <c r="J870" i="10"/>
  <c r="H854" i="10"/>
  <c r="I854" i="10"/>
  <c r="J854" i="10"/>
  <c r="H838" i="10"/>
  <c r="I838" i="10"/>
  <c r="I787" i="10"/>
  <c r="J787" i="10"/>
  <c r="H787" i="10"/>
  <c r="H702" i="10"/>
  <c r="I702" i="10"/>
  <c r="J702" i="10"/>
  <c r="H873" i="10"/>
  <c r="J873" i="10"/>
  <c r="H869" i="10"/>
  <c r="I869" i="10"/>
  <c r="J869" i="10"/>
  <c r="H865" i="10"/>
  <c r="I865" i="10"/>
  <c r="J865" i="10"/>
  <c r="H861" i="10"/>
  <c r="I861" i="10"/>
  <c r="H853" i="10"/>
  <c r="I853" i="10"/>
  <c r="J853" i="10"/>
  <c r="H849" i="10"/>
  <c r="I849" i="10"/>
  <c r="J849" i="10"/>
  <c r="I841" i="10"/>
  <c r="J841" i="10"/>
  <c r="H837" i="10"/>
  <c r="I837" i="10"/>
  <c r="J837" i="10"/>
  <c r="H833" i="10"/>
  <c r="I833" i="10"/>
  <c r="J833" i="10"/>
  <c r="H829" i="10"/>
  <c r="I829" i="10"/>
  <c r="H820" i="10"/>
  <c r="I820" i="10"/>
  <c r="J820" i="10"/>
  <c r="H812" i="10"/>
  <c r="I812" i="10"/>
  <c r="J812" i="10"/>
  <c r="I795" i="10"/>
  <c r="J795" i="10"/>
  <c r="H774" i="10"/>
  <c r="I774" i="10"/>
  <c r="J774" i="10"/>
  <c r="H763" i="10"/>
  <c r="I763" i="10"/>
  <c r="J763" i="10"/>
  <c r="H742" i="10"/>
  <c r="I742" i="10"/>
  <c r="I710" i="10"/>
  <c r="H710" i="10"/>
  <c r="J710" i="10"/>
  <c r="H699" i="10"/>
  <c r="I699" i="10"/>
  <c r="J699" i="10"/>
  <c r="I667" i="10"/>
  <c r="J667" i="10"/>
  <c r="H910" i="10"/>
  <c r="I910" i="10"/>
  <c r="J910" i="10"/>
  <c r="H908" i="10"/>
  <c r="J908" i="10"/>
  <c r="I908" i="10"/>
  <c r="H906" i="10"/>
  <c r="I906" i="10"/>
  <c r="J906" i="10"/>
  <c r="H904" i="10"/>
  <c r="I904" i="10"/>
  <c r="J904" i="10"/>
  <c r="H902" i="10"/>
  <c r="I902" i="10"/>
  <c r="J902" i="10"/>
  <c r="H900" i="10"/>
  <c r="I900" i="10"/>
  <c r="J900" i="10"/>
  <c r="H898" i="10"/>
  <c r="I898" i="10"/>
  <c r="J898" i="10"/>
  <c r="H896" i="10"/>
  <c r="J896" i="10"/>
  <c r="I896" i="10"/>
  <c r="I894" i="10"/>
  <c r="H894" i="10"/>
  <c r="J894" i="10"/>
  <c r="H892" i="10"/>
  <c r="J892" i="10"/>
  <c r="I892" i="10"/>
  <c r="H890" i="10"/>
  <c r="I890" i="10"/>
  <c r="J890" i="10"/>
  <c r="H888" i="10"/>
  <c r="I888" i="10"/>
  <c r="J888" i="10"/>
  <c r="H886" i="10"/>
  <c r="I886" i="10"/>
  <c r="J886" i="10"/>
  <c r="H884" i="10"/>
  <c r="I884" i="10"/>
  <c r="J884" i="10"/>
  <c r="H882" i="10"/>
  <c r="I882" i="10"/>
  <c r="J882" i="10"/>
  <c r="H880" i="10"/>
  <c r="J880" i="10"/>
  <c r="I880" i="10"/>
  <c r="H875" i="10"/>
  <c r="I875" i="10"/>
  <c r="J875" i="10"/>
  <c r="H872" i="10"/>
  <c r="I872" i="10"/>
  <c r="J872" i="10"/>
  <c r="H868" i="10"/>
  <c r="I868" i="10"/>
  <c r="J868" i="10"/>
  <c r="H864" i="10"/>
  <c r="J864" i="10"/>
  <c r="I864" i="10"/>
  <c r="H860" i="10"/>
  <c r="J860" i="10"/>
  <c r="I860" i="10"/>
  <c r="H856" i="10"/>
  <c r="I856" i="10"/>
  <c r="J856" i="10"/>
  <c r="H852" i="10"/>
  <c r="I852" i="10"/>
  <c r="J852" i="10"/>
  <c r="H848" i="10"/>
  <c r="J848" i="10"/>
  <c r="I848" i="10"/>
  <c r="H844" i="10"/>
  <c r="J844" i="10"/>
  <c r="I844" i="10"/>
  <c r="H840" i="10"/>
  <c r="I840" i="10"/>
  <c r="J840" i="10"/>
  <c r="H836" i="10"/>
  <c r="I836" i="10"/>
  <c r="J836" i="10"/>
  <c r="H832" i="10"/>
  <c r="J832" i="10"/>
  <c r="I832" i="10"/>
  <c r="H828" i="10"/>
  <c r="I828" i="10"/>
  <c r="J828" i="10"/>
  <c r="H824" i="10"/>
  <c r="J824" i="10"/>
  <c r="I824" i="10"/>
  <c r="I818" i="10"/>
  <c r="H818" i="10"/>
  <c r="J818" i="10"/>
  <c r="H810" i="10"/>
  <c r="I810" i="10"/>
  <c r="J810" i="10"/>
  <c r="I802" i="10"/>
  <c r="H802" i="10"/>
  <c r="J802" i="10"/>
  <c r="I782" i="10"/>
  <c r="H782" i="10"/>
  <c r="J782" i="10"/>
  <c r="I771" i="10"/>
  <c r="J771" i="10"/>
  <c r="H771" i="10"/>
  <c r="I750" i="10"/>
  <c r="H750" i="10"/>
  <c r="J750" i="10"/>
  <c r="I739" i="10"/>
  <c r="J739" i="10"/>
  <c r="H739" i="10"/>
  <c r="H718" i="10"/>
  <c r="I718" i="10"/>
  <c r="J718" i="10"/>
  <c r="H707" i="10"/>
  <c r="I707" i="10"/>
  <c r="J707" i="10"/>
  <c r="H686" i="10"/>
  <c r="I686" i="10"/>
  <c r="J686" i="10"/>
  <c r="H675" i="10"/>
  <c r="I675" i="10"/>
  <c r="J675" i="10"/>
  <c r="H877" i="10"/>
  <c r="I877" i="10"/>
  <c r="J877" i="10"/>
  <c r="H874" i="10"/>
  <c r="I874" i="10"/>
  <c r="J874" i="10"/>
  <c r="H871" i="10"/>
  <c r="I871" i="10"/>
  <c r="J871" i="10"/>
  <c r="H867" i="10"/>
  <c r="I867" i="10"/>
  <c r="J867" i="10"/>
  <c r="H863" i="10"/>
  <c r="I863" i="10"/>
  <c r="J863" i="10"/>
  <c r="H859" i="10"/>
  <c r="I859" i="10"/>
  <c r="J859" i="10"/>
  <c r="H855" i="10"/>
  <c r="I855" i="10"/>
  <c r="J855" i="10"/>
  <c r="H851" i="10"/>
  <c r="I851" i="10"/>
  <c r="J851" i="10"/>
  <c r="H847" i="10"/>
  <c r="I847" i="10"/>
  <c r="J847" i="10"/>
  <c r="H843" i="10"/>
  <c r="I843" i="10"/>
  <c r="J843" i="10"/>
  <c r="H839" i="10"/>
  <c r="I839" i="10"/>
  <c r="J839" i="10"/>
  <c r="I835" i="10"/>
  <c r="H835" i="10"/>
  <c r="J835" i="10"/>
  <c r="H831" i="10"/>
  <c r="I831" i="10"/>
  <c r="J831" i="10"/>
  <c r="H827" i="10"/>
  <c r="I827" i="10"/>
  <c r="J827" i="10"/>
  <c r="H823" i="10"/>
  <c r="I823" i="10"/>
  <c r="J823" i="10"/>
  <c r="H816" i="10"/>
  <c r="J816" i="10"/>
  <c r="I816" i="10"/>
  <c r="H808" i="10"/>
  <c r="J808" i="10"/>
  <c r="I808" i="10"/>
  <c r="H800" i="10"/>
  <c r="J800" i="10"/>
  <c r="I800" i="10"/>
  <c r="H790" i="10"/>
  <c r="I790" i="10"/>
  <c r="J790" i="10"/>
  <c r="H779" i="10"/>
  <c r="I779" i="10"/>
  <c r="J779" i="10"/>
  <c r="H758" i="10"/>
  <c r="I758" i="10"/>
  <c r="J758" i="10"/>
  <c r="H747" i="10"/>
  <c r="I747" i="10"/>
  <c r="J747" i="10"/>
  <c r="I726" i="10"/>
  <c r="H726" i="10"/>
  <c r="J726" i="10"/>
  <c r="H715" i="10"/>
  <c r="I715" i="10"/>
  <c r="J715" i="10"/>
  <c r="I694" i="10"/>
  <c r="H694" i="10"/>
  <c r="J694" i="10"/>
  <c r="H683" i="10"/>
  <c r="I683" i="10"/>
  <c r="J683" i="10"/>
  <c r="I662" i="10"/>
  <c r="H662" i="10"/>
  <c r="J662" i="10"/>
  <c r="I797" i="10"/>
  <c r="H797" i="10"/>
  <c r="J797" i="10"/>
  <c r="H792" i="10"/>
  <c r="I792" i="10"/>
  <c r="J792" i="10"/>
  <c r="H789" i="10"/>
  <c r="I789" i="10"/>
  <c r="J789" i="10"/>
  <c r="H784" i="10"/>
  <c r="J784" i="10"/>
  <c r="I784" i="10"/>
  <c r="I781" i="10"/>
  <c r="H781" i="10"/>
  <c r="J781" i="10"/>
  <c r="H776" i="10"/>
  <c r="I776" i="10"/>
  <c r="J776" i="10"/>
  <c r="H773" i="10"/>
  <c r="I773" i="10"/>
  <c r="J773" i="10"/>
  <c r="H768" i="10"/>
  <c r="J768" i="10"/>
  <c r="I768" i="10"/>
  <c r="I765" i="10"/>
  <c r="H765" i="10"/>
  <c r="J765" i="10"/>
  <c r="H760" i="10"/>
  <c r="I760" i="10"/>
  <c r="J760" i="10"/>
  <c r="H757" i="10"/>
  <c r="I757" i="10"/>
  <c r="J757" i="10"/>
  <c r="H752" i="10"/>
  <c r="J752" i="10"/>
  <c r="I752" i="10"/>
  <c r="I749" i="10"/>
  <c r="H749" i="10"/>
  <c r="J749" i="10"/>
  <c r="H744" i="10"/>
  <c r="I744" i="10"/>
  <c r="J744" i="10"/>
  <c r="H741" i="10"/>
  <c r="I741" i="10"/>
  <c r="J741" i="10"/>
  <c r="H736" i="10"/>
  <c r="J736" i="10"/>
  <c r="I736" i="10"/>
  <c r="I733" i="10"/>
  <c r="H733" i="10"/>
  <c r="J733" i="10"/>
  <c r="H728" i="10"/>
  <c r="I728" i="10"/>
  <c r="J728" i="10"/>
  <c r="H725" i="10"/>
  <c r="I725" i="10"/>
  <c r="J725" i="10"/>
  <c r="H720" i="10"/>
  <c r="J720" i="10"/>
  <c r="I720" i="10"/>
  <c r="H717" i="10"/>
  <c r="I717" i="10"/>
  <c r="J717" i="10"/>
  <c r="H712" i="10"/>
  <c r="I712" i="10"/>
  <c r="J712" i="10"/>
  <c r="H709" i="10"/>
  <c r="I709" i="10"/>
  <c r="J709" i="10"/>
  <c r="H704" i="10"/>
  <c r="J704" i="10"/>
  <c r="I704" i="10"/>
  <c r="H701" i="10"/>
  <c r="I701" i="10"/>
  <c r="J701" i="10"/>
  <c r="H696" i="10"/>
  <c r="I696" i="10"/>
  <c r="J696" i="10"/>
  <c r="H693" i="10"/>
  <c r="I693" i="10"/>
  <c r="J693" i="10"/>
  <c r="H688" i="10"/>
  <c r="J688" i="10"/>
  <c r="I688" i="10"/>
  <c r="H685" i="10"/>
  <c r="I685" i="10"/>
  <c r="J685" i="10"/>
  <c r="H680" i="10"/>
  <c r="I680" i="10"/>
  <c r="J680" i="10"/>
  <c r="H677" i="10"/>
  <c r="I677" i="10"/>
  <c r="J677" i="10"/>
  <c r="H672" i="10"/>
  <c r="J672" i="10"/>
  <c r="I672" i="10"/>
  <c r="H669" i="10"/>
  <c r="I669" i="10"/>
  <c r="J669" i="10"/>
  <c r="H664" i="10"/>
  <c r="I664" i="10"/>
  <c r="J664" i="10"/>
  <c r="H661" i="10"/>
  <c r="I661" i="10"/>
  <c r="J661" i="10"/>
  <c r="H658" i="10"/>
  <c r="I658" i="10"/>
  <c r="J658" i="10"/>
  <c r="H821" i="10"/>
  <c r="I821" i="10"/>
  <c r="J821" i="10"/>
  <c r="I819" i="10"/>
  <c r="H819" i="10"/>
  <c r="J819" i="10"/>
  <c r="H817" i="10"/>
  <c r="I817" i="10"/>
  <c r="J817" i="10"/>
  <c r="H815" i="10"/>
  <c r="I815" i="10"/>
  <c r="J815" i="10"/>
  <c r="H813" i="10"/>
  <c r="I813" i="10"/>
  <c r="J813" i="10"/>
  <c r="H811" i="10"/>
  <c r="I811" i="10"/>
  <c r="J811" i="10"/>
  <c r="H809" i="10"/>
  <c r="I809" i="10"/>
  <c r="J809" i="10"/>
  <c r="H807" i="10"/>
  <c r="I807" i="10"/>
  <c r="J807" i="10"/>
  <c r="H805" i="10"/>
  <c r="I805" i="10"/>
  <c r="J805" i="10"/>
  <c r="I803" i="10"/>
  <c r="J803" i="10"/>
  <c r="H803" i="10"/>
  <c r="I801" i="10"/>
  <c r="H801" i="10"/>
  <c r="J801" i="10"/>
  <c r="H799" i="10"/>
  <c r="I799" i="10"/>
  <c r="J799" i="10"/>
  <c r="H794" i="10"/>
  <c r="I794" i="10"/>
  <c r="J794" i="10"/>
  <c r="H791" i="10"/>
  <c r="I791" i="10"/>
  <c r="J791" i="10"/>
  <c r="I786" i="10"/>
  <c r="H786" i="10"/>
  <c r="J786" i="10"/>
  <c r="H783" i="10"/>
  <c r="I783" i="10"/>
  <c r="J783" i="10"/>
  <c r="H778" i="10"/>
  <c r="I778" i="10"/>
  <c r="J778" i="10"/>
  <c r="H775" i="10"/>
  <c r="I775" i="10"/>
  <c r="J775" i="10"/>
  <c r="I770" i="10"/>
  <c r="H770" i="10"/>
  <c r="J770" i="10"/>
  <c r="H767" i="10"/>
  <c r="I767" i="10"/>
  <c r="J767" i="10"/>
  <c r="H762" i="10"/>
  <c r="I762" i="10"/>
  <c r="J762" i="10"/>
  <c r="H759" i="10"/>
  <c r="I759" i="10"/>
  <c r="J759" i="10"/>
  <c r="I754" i="10"/>
  <c r="H754" i="10"/>
  <c r="J754" i="10"/>
  <c r="H751" i="10"/>
  <c r="I751" i="10"/>
  <c r="J751" i="10"/>
  <c r="H746" i="10"/>
  <c r="I746" i="10"/>
  <c r="J746" i="10"/>
  <c r="H743" i="10"/>
  <c r="I743" i="10"/>
  <c r="J743" i="10"/>
  <c r="I738" i="10"/>
  <c r="H738" i="10"/>
  <c r="J738" i="10"/>
  <c r="H735" i="10"/>
  <c r="I735" i="10"/>
  <c r="J735" i="10"/>
  <c r="H730" i="10"/>
  <c r="I730" i="10"/>
  <c r="J730" i="10"/>
  <c r="H727" i="10"/>
  <c r="I727" i="10"/>
  <c r="J727" i="10"/>
  <c r="H722" i="10"/>
  <c r="I722" i="10"/>
  <c r="J722" i="10"/>
  <c r="H719" i="10"/>
  <c r="I719" i="10"/>
  <c r="J719" i="10"/>
  <c r="I714" i="10"/>
  <c r="H714" i="10"/>
  <c r="J714" i="10"/>
  <c r="H711" i="10"/>
  <c r="I711" i="10"/>
  <c r="J711" i="10"/>
  <c r="H706" i="10"/>
  <c r="I706" i="10"/>
  <c r="J706" i="10"/>
  <c r="H703" i="10"/>
  <c r="I703" i="10"/>
  <c r="J703" i="10"/>
  <c r="I698" i="10"/>
  <c r="H698" i="10"/>
  <c r="J698" i="10"/>
  <c r="H695" i="10"/>
  <c r="I695" i="10"/>
  <c r="J695" i="10"/>
  <c r="H690" i="10"/>
  <c r="I690" i="10"/>
  <c r="J690" i="10"/>
  <c r="H687" i="10"/>
  <c r="I687" i="10"/>
  <c r="J687" i="10"/>
  <c r="I682" i="10"/>
  <c r="H682" i="10"/>
  <c r="J682" i="10"/>
  <c r="H679" i="10"/>
  <c r="I679" i="10"/>
  <c r="J679" i="10"/>
  <c r="H674" i="10"/>
  <c r="I674" i="10"/>
  <c r="J674" i="10"/>
  <c r="H671" i="10"/>
  <c r="I671" i="10"/>
  <c r="J671" i="10"/>
  <c r="I666" i="10"/>
  <c r="J666" i="10"/>
  <c r="H666" i="10"/>
  <c r="H663" i="10"/>
  <c r="I663" i="10"/>
  <c r="J663" i="10"/>
  <c r="H796" i="10"/>
  <c r="J796" i="10"/>
  <c r="I796" i="10"/>
  <c r="I793" i="10"/>
  <c r="H793" i="10"/>
  <c r="J793" i="10"/>
  <c r="H788" i="10"/>
  <c r="I788" i="10"/>
  <c r="J788" i="10"/>
  <c r="I785" i="10"/>
  <c r="H785" i="10"/>
  <c r="J785" i="10"/>
  <c r="H780" i="10"/>
  <c r="J780" i="10"/>
  <c r="I780" i="10"/>
  <c r="I777" i="10"/>
  <c r="H777" i="10"/>
  <c r="J777" i="10"/>
  <c r="H772" i="10"/>
  <c r="I772" i="10"/>
  <c r="J772" i="10"/>
  <c r="I769" i="10"/>
  <c r="H769" i="10"/>
  <c r="J769" i="10"/>
  <c r="H764" i="10"/>
  <c r="J764" i="10"/>
  <c r="I764" i="10"/>
  <c r="I761" i="10"/>
  <c r="H761" i="10"/>
  <c r="J761" i="10"/>
  <c r="H756" i="10"/>
  <c r="I756" i="10"/>
  <c r="J756" i="10"/>
  <c r="I753" i="10"/>
  <c r="H753" i="10"/>
  <c r="J753" i="10"/>
  <c r="H748" i="10"/>
  <c r="J748" i="10"/>
  <c r="I748" i="10"/>
  <c r="I745" i="10"/>
  <c r="H745" i="10"/>
  <c r="J745" i="10"/>
  <c r="H740" i="10"/>
  <c r="I740" i="10"/>
  <c r="J740" i="10"/>
  <c r="I737" i="10"/>
  <c r="H737" i="10"/>
  <c r="J737" i="10"/>
  <c r="H732" i="10"/>
  <c r="J732" i="10"/>
  <c r="I732" i="10"/>
  <c r="I729" i="10"/>
  <c r="J729" i="10"/>
  <c r="H729" i="10"/>
  <c r="H724" i="10"/>
  <c r="I724" i="10"/>
  <c r="J724" i="10"/>
  <c r="H721" i="10"/>
  <c r="I721" i="10"/>
  <c r="J721" i="10"/>
  <c r="H716" i="10"/>
  <c r="J716" i="10"/>
  <c r="I716" i="10"/>
  <c r="H713" i="10"/>
  <c r="I713" i="10"/>
  <c r="J713" i="10"/>
  <c r="H708" i="10"/>
  <c r="I708" i="10"/>
  <c r="J708" i="10"/>
  <c r="H705" i="10"/>
  <c r="I705" i="10"/>
  <c r="J705" i="10"/>
  <c r="H700" i="10"/>
  <c r="J700" i="10"/>
  <c r="I700" i="10"/>
  <c r="H697" i="10"/>
  <c r="I697" i="10"/>
  <c r="J697" i="10"/>
  <c r="H692" i="10"/>
  <c r="I692" i="10"/>
  <c r="J692" i="10"/>
  <c r="H689" i="10"/>
  <c r="I689" i="10"/>
  <c r="J689" i="10"/>
  <c r="H684" i="10"/>
  <c r="J684" i="10"/>
  <c r="I684" i="10"/>
  <c r="H681" i="10"/>
  <c r="I681" i="10"/>
  <c r="J681" i="10"/>
  <c r="H676" i="10"/>
  <c r="I676" i="10"/>
  <c r="J676" i="10"/>
  <c r="H673" i="10"/>
  <c r="I673" i="10"/>
  <c r="J673" i="10"/>
  <c r="H668" i="10"/>
  <c r="J668" i="10"/>
  <c r="I668" i="10"/>
  <c r="H665" i="10"/>
  <c r="I665" i="10"/>
  <c r="J665" i="10"/>
  <c r="H660" i="10"/>
  <c r="I660" i="10"/>
  <c r="J660" i="10"/>
  <c r="H656" i="10"/>
  <c r="J656" i="10"/>
  <c r="I656" i="10"/>
  <c r="H654" i="10"/>
  <c r="I654" i="10"/>
  <c r="J654" i="10"/>
  <c r="H652" i="10"/>
  <c r="J652" i="10"/>
  <c r="I652" i="10"/>
  <c r="I650" i="10"/>
  <c r="H650" i="10"/>
  <c r="J650" i="10"/>
  <c r="H648" i="10"/>
  <c r="I648" i="10"/>
  <c r="J648" i="10"/>
  <c r="I646" i="10"/>
  <c r="H646" i="10"/>
  <c r="J646" i="10"/>
  <c r="H644" i="10"/>
  <c r="I644" i="10"/>
  <c r="J644" i="10"/>
  <c r="H642" i="10"/>
  <c r="I642" i="10"/>
  <c r="J642" i="10"/>
  <c r="H640" i="10"/>
  <c r="J640" i="10"/>
  <c r="I640" i="10"/>
  <c r="H638" i="10"/>
  <c r="I638" i="10"/>
  <c r="J638" i="10"/>
  <c r="H636" i="10"/>
  <c r="J636" i="10"/>
  <c r="I636" i="10"/>
  <c r="I634" i="10"/>
  <c r="H634" i="10"/>
  <c r="J634" i="10"/>
  <c r="H632" i="10"/>
  <c r="I632" i="10"/>
  <c r="J632" i="10"/>
  <c r="I630" i="10"/>
  <c r="H630" i="10"/>
  <c r="J630" i="10"/>
  <c r="H659" i="10"/>
  <c r="I659" i="10"/>
  <c r="J659" i="10"/>
  <c r="G657" i="10"/>
  <c r="G655" i="10"/>
  <c r="G653" i="10"/>
  <c r="G651" i="10"/>
  <c r="G649" i="10"/>
  <c r="G647" i="10"/>
  <c r="G645" i="10"/>
  <c r="G643" i="10"/>
  <c r="G641" i="10"/>
  <c r="G639" i="10"/>
  <c r="G637" i="10"/>
  <c r="G635" i="10"/>
  <c r="G633" i="10"/>
  <c r="G631" i="10"/>
  <c r="G629" i="10"/>
  <c r="H579" i="10"/>
  <c r="H460" i="10"/>
  <c r="I460" i="10"/>
  <c r="J460" i="10"/>
  <c r="H513" i="10"/>
  <c r="I513" i="10"/>
  <c r="J513" i="10"/>
  <c r="H574" i="10"/>
  <c r="H492" i="10"/>
  <c r="H448" i="10"/>
  <c r="I448" i="10"/>
  <c r="J448" i="10"/>
  <c r="H556" i="10"/>
  <c r="J556" i="10"/>
  <c r="I556" i="10"/>
  <c r="I524" i="10"/>
  <c r="H481" i="10"/>
  <c r="I481" i="10"/>
  <c r="H432" i="10"/>
  <c r="I432" i="10"/>
  <c r="J432" i="10"/>
  <c r="H627" i="10"/>
  <c r="J627" i="10"/>
  <c r="I627" i="10"/>
  <c r="H623" i="10"/>
  <c r="H619" i="10"/>
  <c r="H615" i="10"/>
  <c r="J615" i="10"/>
  <c r="I615" i="10"/>
  <c r="H611" i="10"/>
  <c r="J611" i="10"/>
  <c r="I611" i="10"/>
  <c r="H607" i="10"/>
  <c r="H599" i="10"/>
  <c r="J599" i="10"/>
  <c r="I599" i="10"/>
  <c r="H595" i="10"/>
  <c r="J595" i="10"/>
  <c r="I595" i="10"/>
  <c r="H591" i="10"/>
  <c r="J587" i="10"/>
  <c r="I587" i="10"/>
  <c r="H577" i="10"/>
  <c r="I577" i="10"/>
  <c r="J577" i="10"/>
  <c r="H572" i="10"/>
  <c r="J572" i="10"/>
  <c r="I572" i="10"/>
  <c r="H564" i="10"/>
  <c r="J564" i="10"/>
  <c r="J553" i="10"/>
  <c r="I532" i="10"/>
  <c r="H532" i="10"/>
  <c r="J532" i="10"/>
  <c r="H521" i="10"/>
  <c r="I521" i="10"/>
  <c r="J521" i="10"/>
  <c r="I500" i="10"/>
  <c r="H500" i="10"/>
  <c r="H489" i="10"/>
  <c r="H468" i="10"/>
  <c r="I468" i="10"/>
  <c r="J468" i="10"/>
  <c r="H457" i="10"/>
  <c r="I457" i="10"/>
  <c r="J457" i="10"/>
  <c r="H444" i="10"/>
  <c r="I444" i="10"/>
  <c r="H428" i="10"/>
  <c r="I428" i="10"/>
  <c r="H582" i="10"/>
  <c r="I582" i="10"/>
  <c r="J582" i="10"/>
  <c r="H571" i="10"/>
  <c r="J571" i="10"/>
  <c r="I571" i="10"/>
  <c r="H561" i="10"/>
  <c r="I561" i="10"/>
  <c r="H540" i="10"/>
  <c r="I540" i="10"/>
  <c r="H529" i="10"/>
  <c r="I529" i="10"/>
  <c r="J529" i="10"/>
  <c r="I508" i="10"/>
  <c r="H508" i="10"/>
  <c r="J508" i="10"/>
  <c r="H497" i="10"/>
  <c r="I497" i="10"/>
  <c r="J497" i="10"/>
  <c r="J476" i="10"/>
  <c r="H476" i="10"/>
  <c r="H465" i="10"/>
  <c r="I465" i="10"/>
  <c r="J465" i="10"/>
  <c r="H440" i="10"/>
  <c r="I440" i="10"/>
  <c r="J440" i="10"/>
  <c r="H424" i="10"/>
  <c r="I424" i="10"/>
  <c r="J424" i="10"/>
  <c r="I625" i="10"/>
  <c r="J625" i="10"/>
  <c r="I621" i="10"/>
  <c r="H621" i="10"/>
  <c r="J621" i="10"/>
  <c r="I617" i="10"/>
  <c r="H617" i="10"/>
  <c r="J617" i="10"/>
  <c r="I613" i="10"/>
  <c r="J613" i="10"/>
  <c r="H613" i="10"/>
  <c r="I609" i="10"/>
  <c r="J609" i="10"/>
  <c r="I605" i="10"/>
  <c r="J605" i="10"/>
  <c r="H605" i="10"/>
  <c r="I601" i="10"/>
  <c r="H601" i="10"/>
  <c r="J601" i="10"/>
  <c r="I597" i="10"/>
  <c r="H597" i="10"/>
  <c r="J597" i="10"/>
  <c r="I593" i="10"/>
  <c r="J593" i="10"/>
  <c r="H589" i="10"/>
  <c r="I589" i="10"/>
  <c r="J589" i="10"/>
  <c r="H585" i="10"/>
  <c r="I585" i="10"/>
  <c r="J585" i="10"/>
  <c r="H580" i="10"/>
  <c r="J580" i="10"/>
  <c r="I580" i="10"/>
  <c r="H569" i="10"/>
  <c r="I569" i="10"/>
  <c r="J569" i="10"/>
  <c r="H548" i="10"/>
  <c r="J548" i="10"/>
  <c r="I548" i="10"/>
  <c r="H537" i="10"/>
  <c r="I537" i="10"/>
  <c r="J537" i="10"/>
  <c r="I516" i="10"/>
  <c r="H516" i="10"/>
  <c r="J516" i="10"/>
  <c r="H505" i="10"/>
  <c r="I505" i="10"/>
  <c r="J505" i="10"/>
  <c r="I484" i="10"/>
  <c r="H484" i="10"/>
  <c r="J484" i="10"/>
  <c r="H473" i="10"/>
  <c r="I473" i="10"/>
  <c r="J473" i="10"/>
  <c r="H452" i="10"/>
  <c r="I452" i="10"/>
  <c r="J452" i="10"/>
  <c r="H436" i="10"/>
  <c r="I436" i="10"/>
  <c r="J436" i="10"/>
  <c r="H420" i="10"/>
  <c r="I420" i="10"/>
  <c r="J420" i="10"/>
  <c r="H566" i="10"/>
  <c r="I566" i="10"/>
  <c r="J566" i="10"/>
  <c r="H563" i="10"/>
  <c r="J563" i="10"/>
  <c r="I563" i="10"/>
  <c r="H558" i="10"/>
  <c r="I558" i="10"/>
  <c r="J558" i="10"/>
  <c r="H555" i="10"/>
  <c r="J555" i="10"/>
  <c r="I555" i="10"/>
  <c r="H550" i="10"/>
  <c r="I550" i="10"/>
  <c r="J550" i="10"/>
  <c r="H547" i="10"/>
  <c r="J547" i="10"/>
  <c r="I547" i="10"/>
  <c r="H542" i="10"/>
  <c r="I542" i="10"/>
  <c r="J542" i="10"/>
  <c r="H539" i="10"/>
  <c r="J539" i="10"/>
  <c r="I539" i="10"/>
  <c r="H534" i="10"/>
  <c r="I534" i="10"/>
  <c r="J534" i="10"/>
  <c r="H531" i="10"/>
  <c r="J531" i="10"/>
  <c r="I531" i="10"/>
  <c r="H526" i="10"/>
  <c r="I526" i="10"/>
  <c r="J526" i="10"/>
  <c r="H523" i="10"/>
  <c r="J523" i="10"/>
  <c r="I523" i="10"/>
  <c r="H518" i="10"/>
  <c r="I518" i="10"/>
  <c r="J518" i="10"/>
  <c r="H515" i="10"/>
  <c r="J515" i="10"/>
  <c r="I515" i="10"/>
  <c r="H510" i="10"/>
  <c r="I510" i="10"/>
  <c r="J510" i="10"/>
  <c r="H507" i="10"/>
  <c r="I507" i="10"/>
  <c r="J507" i="10"/>
  <c r="H502" i="10"/>
  <c r="I502" i="10"/>
  <c r="J502" i="10"/>
  <c r="H499" i="10"/>
  <c r="J499" i="10"/>
  <c r="I499" i="10"/>
  <c r="H494" i="10"/>
  <c r="I494" i="10"/>
  <c r="J494" i="10"/>
  <c r="H491" i="10"/>
  <c r="I491" i="10"/>
  <c r="J491" i="10"/>
  <c r="H486" i="10"/>
  <c r="I486" i="10"/>
  <c r="J486" i="10"/>
  <c r="H483" i="10"/>
  <c r="J483" i="10"/>
  <c r="I483" i="10"/>
  <c r="H478" i="10"/>
  <c r="I478" i="10"/>
  <c r="J478" i="10"/>
  <c r="H475" i="10"/>
  <c r="I475" i="10"/>
  <c r="J475" i="10"/>
  <c r="I470" i="10"/>
  <c r="H470" i="10"/>
  <c r="J470" i="10"/>
  <c r="H467" i="10"/>
  <c r="J467" i="10"/>
  <c r="I467" i="10"/>
  <c r="I462" i="10"/>
  <c r="H462" i="10"/>
  <c r="J462" i="10"/>
  <c r="H459" i="10"/>
  <c r="I459" i="10"/>
  <c r="J459" i="10"/>
  <c r="I454" i="10"/>
  <c r="H454" i="10"/>
  <c r="J454" i="10"/>
  <c r="H628" i="10"/>
  <c r="J628" i="10"/>
  <c r="I628" i="10"/>
  <c r="H626" i="10"/>
  <c r="I626" i="10"/>
  <c r="J626" i="10"/>
  <c r="H624" i="10"/>
  <c r="J624" i="10"/>
  <c r="I624" i="10"/>
  <c r="H622" i="10"/>
  <c r="I622" i="10"/>
  <c r="J622" i="10"/>
  <c r="H620" i="10"/>
  <c r="J620" i="10"/>
  <c r="I620" i="10"/>
  <c r="H618" i="10"/>
  <c r="I618" i="10"/>
  <c r="J618" i="10"/>
  <c r="H616" i="10"/>
  <c r="J616" i="10"/>
  <c r="I616" i="10"/>
  <c r="H614" i="10"/>
  <c r="I614" i="10"/>
  <c r="J614" i="10"/>
  <c r="H612" i="10"/>
  <c r="J612" i="10"/>
  <c r="I612" i="10"/>
  <c r="H610" i="10"/>
  <c r="I610" i="10"/>
  <c r="J610" i="10"/>
  <c r="H608" i="10"/>
  <c r="J608" i="10"/>
  <c r="I608" i="10"/>
  <c r="H606" i="10"/>
  <c r="I606" i="10"/>
  <c r="J606" i="10"/>
  <c r="H604" i="10"/>
  <c r="I604" i="10"/>
  <c r="J604" i="10"/>
  <c r="H602" i="10"/>
  <c r="I602" i="10"/>
  <c r="J602" i="10"/>
  <c r="H600" i="10"/>
  <c r="J600" i="10"/>
  <c r="I600" i="10"/>
  <c r="H598" i="10"/>
  <c r="I598" i="10"/>
  <c r="J598" i="10"/>
  <c r="H596" i="10"/>
  <c r="J596" i="10"/>
  <c r="I596" i="10"/>
  <c r="H594" i="10"/>
  <c r="I594" i="10"/>
  <c r="J594" i="10"/>
  <c r="H592" i="10"/>
  <c r="J592" i="10"/>
  <c r="I592" i="10"/>
  <c r="H590" i="10"/>
  <c r="I590" i="10"/>
  <c r="J590" i="10"/>
  <c r="I588" i="10"/>
  <c r="J588" i="10"/>
  <c r="H588" i="10"/>
  <c r="H586" i="10"/>
  <c r="I586" i="10"/>
  <c r="J586" i="10"/>
  <c r="H584" i="10"/>
  <c r="J584" i="10"/>
  <c r="I584" i="10"/>
  <c r="H581" i="10"/>
  <c r="I581" i="10"/>
  <c r="J581" i="10"/>
  <c r="H576" i="10"/>
  <c r="J576" i="10"/>
  <c r="I576" i="10"/>
  <c r="H573" i="10"/>
  <c r="I573" i="10"/>
  <c r="J573" i="10"/>
  <c r="H568" i="10"/>
  <c r="J568" i="10"/>
  <c r="I568" i="10"/>
  <c r="H565" i="10"/>
  <c r="I565" i="10"/>
  <c r="J565" i="10"/>
  <c r="H560" i="10"/>
  <c r="J560" i="10"/>
  <c r="I560" i="10"/>
  <c r="H557" i="10"/>
  <c r="I557" i="10"/>
  <c r="J557" i="10"/>
  <c r="H552" i="10"/>
  <c r="I552" i="10"/>
  <c r="J552" i="10"/>
  <c r="H549" i="10"/>
  <c r="I549" i="10"/>
  <c r="J549" i="10"/>
  <c r="H544" i="10"/>
  <c r="J544" i="10"/>
  <c r="I544" i="10"/>
  <c r="H541" i="10"/>
  <c r="I541" i="10"/>
  <c r="J541" i="10"/>
  <c r="H536" i="10"/>
  <c r="J536" i="10"/>
  <c r="I536" i="10"/>
  <c r="H533" i="10"/>
  <c r="I533" i="10"/>
  <c r="J533" i="10"/>
  <c r="I528" i="10"/>
  <c r="H528" i="10"/>
  <c r="J528" i="10"/>
  <c r="H525" i="10"/>
  <c r="I525" i="10"/>
  <c r="J525" i="10"/>
  <c r="H520" i="10"/>
  <c r="I520" i="10"/>
  <c r="J520" i="10"/>
  <c r="H517" i="10"/>
  <c r="I517" i="10"/>
  <c r="J517" i="10"/>
  <c r="I512" i="10"/>
  <c r="H512" i="10"/>
  <c r="J512" i="10"/>
  <c r="H509" i="10"/>
  <c r="I509" i="10"/>
  <c r="J509" i="10"/>
  <c r="H504" i="10"/>
  <c r="I504" i="10"/>
  <c r="J504" i="10"/>
  <c r="H501" i="10"/>
  <c r="I501" i="10"/>
  <c r="J501" i="10"/>
  <c r="I496" i="10"/>
  <c r="H496" i="10"/>
  <c r="J496" i="10"/>
  <c r="H493" i="10"/>
  <c r="I493" i="10"/>
  <c r="J493" i="10"/>
  <c r="H488" i="10"/>
  <c r="I488" i="10"/>
  <c r="J488" i="10"/>
  <c r="H485" i="10"/>
  <c r="I485" i="10"/>
  <c r="J485" i="10"/>
  <c r="I480" i="10"/>
  <c r="H480" i="10"/>
  <c r="J480" i="10"/>
  <c r="H477" i="10"/>
  <c r="I477" i="10"/>
  <c r="J477" i="10"/>
  <c r="H472" i="10"/>
  <c r="I472" i="10"/>
  <c r="J472" i="10"/>
  <c r="H469" i="10"/>
  <c r="I469" i="10"/>
  <c r="J469" i="10"/>
  <c r="H464" i="10"/>
  <c r="I464" i="10"/>
  <c r="J464" i="10"/>
  <c r="H461" i="10"/>
  <c r="I461" i="10"/>
  <c r="J461" i="10"/>
  <c r="H456" i="10"/>
  <c r="I456" i="10"/>
  <c r="J456" i="10"/>
  <c r="H453" i="10"/>
  <c r="I453" i="10"/>
  <c r="J453" i="10"/>
  <c r="H450" i="10"/>
  <c r="I450" i="10"/>
  <c r="J450" i="10"/>
  <c r="I446" i="10"/>
  <c r="H446" i="10"/>
  <c r="J446" i="10"/>
  <c r="H442" i="10"/>
  <c r="I442" i="10"/>
  <c r="J442" i="10"/>
  <c r="I438" i="10"/>
  <c r="H438" i="10"/>
  <c r="J438" i="10"/>
  <c r="H434" i="10"/>
  <c r="I434" i="10"/>
  <c r="J434" i="10"/>
  <c r="I430" i="10"/>
  <c r="H430" i="10"/>
  <c r="J430" i="10"/>
  <c r="H426" i="10"/>
  <c r="I426" i="10"/>
  <c r="J426" i="10"/>
  <c r="I422" i="10"/>
  <c r="H422" i="10"/>
  <c r="J422" i="10"/>
  <c r="H418" i="10"/>
  <c r="I418" i="10"/>
  <c r="J418" i="10"/>
  <c r="J583" i="10"/>
  <c r="H583" i="10"/>
  <c r="I583" i="10"/>
  <c r="H578" i="10"/>
  <c r="I578" i="10"/>
  <c r="J578" i="10"/>
  <c r="H575" i="10"/>
  <c r="J575" i="10"/>
  <c r="I575" i="10"/>
  <c r="H570" i="10"/>
  <c r="I570" i="10"/>
  <c r="J570" i="10"/>
  <c r="J567" i="10"/>
  <c r="I567" i="10"/>
  <c r="H567" i="10"/>
  <c r="I562" i="10"/>
  <c r="H562" i="10"/>
  <c r="J562" i="10"/>
  <c r="H559" i="10"/>
  <c r="J559" i="10"/>
  <c r="I559" i="10"/>
  <c r="H554" i="10"/>
  <c r="I554" i="10"/>
  <c r="J554" i="10"/>
  <c r="H551" i="10"/>
  <c r="J551" i="10"/>
  <c r="I551" i="10"/>
  <c r="I546" i="10"/>
  <c r="H546" i="10"/>
  <c r="J546" i="10"/>
  <c r="H543" i="10"/>
  <c r="J543" i="10"/>
  <c r="I543" i="10"/>
  <c r="H538" i="10"/>
  <c r="I538" i="10"/>
  <c r="J538" i="10"/>
  <c r="J535" i="10"/>
  <c r="H535" i="10"/>
  <c r="I535" i="10"/>
  <c r="H530" i="10"/>
  <c r="I530" i="10"/>
  <c r="J530" i="10"/>
  <c r="H527" i="10"/>
  <c r="I527" i="10"/>
  <c r="J527" i="10"/>
  <c r="H522" i="10"/>
  <c r="I522" i="10"/>
  <c r="J522" i="10"/>
  <c r="J519" i="10"/>
  <c r="H519" i="10"/>
  <c r="I519" i="10"/>
  <c r="I514" i="10"/>
  <c r="H514" i="10"/>
  <c r="J514" i="10"/>
  <c r="H511" i="10"/>
  <c r="J511" i="10"/>
  <c r="I511" i="10"/>
  <c r="H506" i="10"/>
  <c r="I506" i="10"/>
  <c r="J506" i="10"/>
  <c r="J503" i="10"/>
  <c r="H503" i="10"/>
  <c r="I503" i="10"/>
  <c r="I498" i="10"/>
  <c r="H498" i="10"/>
  <c r="J498" i="10"/>
  <c r="H495" i="10"/>
  <c r="J495" i="10"/>
  <c r="I495" i="10"/>
  <c r="H490" i="10"/>
  <c r="I490" i="10"/>
  <c r="J490" i="10"/>
  <c r="H487" i="10"/>
  <c r="J487" i="10"/>
  <c r="I487" i="10"/>
  <c r="I482" i="10"/>
  <c r="H482" i="10"/>
  <c r="J482" i="10"/>
  <c r="H479" i="10"/>
  <c r="J479" i="10"/>
  <c r="I479" i="10"/>
  <c r="H474" i="10"/>
  <c r="I474" i="10"/>
  <c r="J474" i="10"/>
  <c r="H471" i="10"/>
  <c r="J471" i="10"/>
  <c r="I471" i="10"/>
  <c r="H466" i="10"/>
  <c r="I466" i="10"/>
  <c r="J466" i="10"/>
  <c r="H463" i="10"/>
  <c r="J463" i="10"/>
  <c r="I463" i="10"/>
  <c r="H458" i="10"/>
  <c r="I458" i="10"/>
  <c r="J458" i="10"/>
  <c r="H455" i="10"/>
  <c r="J455" i="10"/>
  <c r="I455" i="10"/>
  <c r="H416" i="10"/>
  <c r="I416" i="10"/>
  <c r="J416" i="10"/>
  <c r="H451" i="10"/>
  <c r="J451" i="10"/>
  <c r="I451" i="10"/>
  <c r="H449" i="10"/>
  <c r="I449" i="10"/>
  <c r="J449" i="10"/>
  <c r="H447" i="10"/>
  <c r="J447" i="10"/>
  <c r="I447" i="10"/>
  <c r="H445" i="10"/>
  <c r="I445" i="10"/>
  <c r="J445" i="10"/>
  <c r="G443" i="10"/>
  <c r="G441" i="10"/>
  <c r="G439" i="10"/>
  <c r="G437" i="10"/>
  <c r="G435" i="10"/>
  <c r="G433" i="10"/>
  <c r="G431" i="10"/>
  <c r="G429" i="10"/>
  <c r="G427" i="10"/>
  <c r="G425" i="10"/>
  <c r="G423" i="10"/>
  <c r="G421" i="10"/>
  <c r="G419" i="10"/>
  <c r="G417" i="10"/>
  <c r="G415" i="10"/>
  <c r="I381" i="10"/>
  <c r="H381" i="10"/>
  <c r="J381" i="10"/>
  <c r="I409" i="10"/>
  <c r="H409" i="10"/>
  <c r="J409" i="10"/>
  <c r="I370" i="10"/>
  <c r="H370" i="10"/>
  <c r="J370" i="10"/>
  <c r="H285" i="10"/>
  <c r="I285" i="10"/>
  <c r="J285" i="10"/>
  <c r="I401" i="10"/>
  <c r="H401" i="10"/>
  <c r="J401" i="10"/>
  <c r="H317" i="10"/>
  <c r="I317" i="10"/>
  <c r="J317" i="10"/>
  <c r="H274" i="10"/>
  <c r="I274" i="10"/>
  <c r="J274" i="10"/>
  <c r="I338" i="10"/>
  <c r="H338" i="10"/>
  <c r="J338" i="10"/>
  <c r="H349" i="10"/>
  <c r="I349" i="10"/>
  <c r="J349" i="10"/>
  <c r="H306" i="10"/>
  <c r="I306" i="10"/>
  <c r="J306" i="10"/>
  <c r="I407" i="10"/>
  <c r="H407" i="10"/>
  <c r="J407" i="10"/>
  <c r="I399" i="10"/>
  <c r="H399" i="10"/>
  <c r="J399" i="10"/>
  <c r="I389" i="10"/>
  <c r="H389" i="10"/>
  <c r="J389" i="10"/>
  <c r="I378" i="10"/>
  <c r="H378" i="10"/>
  <c r="J378" i="10"/>
  <c r="I357" i="10"/>
  <c r="H357" i="10"/>
  <c r="J357" i="10"/>
  <c r="I346" i="10"/>
  <c r="H346" i="10"/>
  <c r="J346" i="10"/>
  <c r="H325" i="10"/>
  <c r="I325" i="10"/>
  <c r="J325" i="10"/>
  <c r="H314" i="10"/>
  <c r="I314" i="10"/>
  <c r="J314" i="10"/>
  <c r="H293" i="10"/>
  <c r="I293" i="10"/>
  <c r="J293" i="10"/>
  <c r="H282" i="10"/>
  <c r="I282" i="10"/>
  <c r="J282" i="10"/>
  <c r="I413" i="10"/>
  <c r="H413" i="10"/>
  <c r="J413" i="10"/>
  <c r="I405" i="10"/>
  <c r="H405" i="10"/>
  <c r="J405" i="10"/>
  <c r="I397" i="10"/>
  <c r="H397" i="10"/>
  <c r="J397" i="10"/>
  <c r="I386" i="10"/>
  <c r="H386" i="10"/>
  <c r="J386" i="10"/>
  <c r="I365" i="10"/>
  <c r="H365" i="10"/>
  <c r="J365" i="10"/>
  <c r="H354" i="10"/>
  <c r="I354" i="10"/>
  <c r="J354" i="10"/>
  <c r="H333" i="10"/>
  <c r="I333" i="10"/>
  <c r="J333" i="10"/>
  <c r="H322" i="10"/>
  <c r="I322" i="10"/>
  <c r="J322" i="10"/>
  <c r="H301" i="10"/>
  <c r="I301" i="10"/>
  <c r="J301" i="10"/>
  <c r="H290" i="10"/>
  <c r="I290" i="10"/>
  <c r="J290" i="10"/>
  <c r="H269" i="10"/>
  <c r="I269" i="10"/>
  <c r="J269" i="10"/>
  <c r="I411" i="10"/>
  <c r="H411" i="10"/>
  <c r="J411" i="10"/>
  <c r="I403" i="10"/>
  <c r="H403" i="10"/>
  <c r="J403" i="10"/>
  <c r="I394" i="10"/>
  <c r="H394" i="10"/>
  <c r="J394" i="10"/>
  <c r="I373" i="10"/>
  <c r="H373" i="10"/>
  <c r="J373" i="10"/>
  <c r="I362" i="10"/>
  <c r="H362" i="10"/>
  <c r="J362" i="10"/>
  <c r="H341" i="10"/>
  <c r="I341" i="10"/>
  <c r="J341" i="10"/>
  <c r="H330" i="10"/>
  <c r="I330" i="10"/>
  <c r="J330" i="10"/>
  <c r="H309" i="10"/>
  <c r="I309" i="10"/>
  <c r="J309" i="10"/>
  <c r="H298" i="10"/>
  <c r="I298" i="10"/>
  <c r="J298" i="10"/>
  <c r="H277" i="10"/>
  <c r="I277" i="10"/>
  <c r="J277" i="10"/>
  <c r="H396" i="10"/>
  <c r="J396" i="10"/>
  <c r="I396" i="10"/>
  <c r="I391" i="10"/>
  <c r="J391" i="10"/>
  <c r="H391" i="10"/>
  <c r="H388" i="10"/>
  <c r="J388" i="10"/>
  <c r="I388" i="10"/>
  <c r="I383" i="10"/>
  <c r="H383" i="10"/>
  <c r="J383" i="10"/>
  <c r="H380" i="10"/>
  <c r="J380" i="10"/>
  <c r="I380" i="10"/>
  <c r="I375" i="10"/>
  <c r="H375" i="10"/>
  <c r="J375" i="10"/>
  <c r="H372" i="10"/>
  <c r="J372" i="10"/>
  <c r="I372" i="10"/>
  <c r="I367" i="10"/>
  <c r="H367" i="10"/>
  <c r="J367" i="10"/>
  <c r="H364" i="10"/>
  <c r="J364" i="10"/>
  <c r="I364" i="10"/>
  <c r="H359" i="10"/>
  <c r="I359" i="10"/>
  <c r="J359" i="10"/>
  <c r="H356" i="10"/>
  <c r="J356" i="10"/>
  <c r="I356" i="10"/>
  <c r="H351" i="10"/>
  <c r="I351" i="10"/>
  <c r="J351" i="10"/>
  <c r="H348" i="10"/>
  <c r="J348" i="10"/>
  <c r="I348" i="10"/>
  <c r="H343" i="10"/>
  <c r="I343" i="10"/>
  <c r="J343" i="10"/>
  <c r="H340" i="10"/>
  <c r="J340" i="10"/>
  <c r="I340" i="10"/>
  <c r="H335" i="10"/>
  <c r="I335" i="10"/>
  <c r="J335" i="10"/>
  <c r="H332" i="10"/>
  <c r="J332" i="10"/>
  <c r="I332" i="10"/>
  <c r="H327" i="10"/>
  <c r="I327" i="10"/>
  <c r="J327" i="10"/>
  <c r="H324" i="10"/>
  <c r="J324" i="10"/>
  <c r="I324" i="10"/>
  <c r="H319" i="10"/>
  <c r="I319" i="10"/>
  <c r="J319" i="10"/>
  <c r="H316" i="10"/>
  <c r="J316" i="10"/>
  <c r="I316" i="10"/>
  <c r="H311" i="10"/>
  <c r="I311" i="10"/>
  <c r="J311" i="10"/>
  <c r="H308" i="10"/>
  <c r="J308" i="10"/>
  <c r="I308" i="10"/>
  <c r="H303" i="10"/>
  <c r="I303" i="10"/>
  <c r="J303" i="10"/>
  <c r="H300" i="10"/>
  <c r="J300" i="10"/>
  <c r="I300" i="10"/>
  <c r="H295" i="10"/>
  <c r="I295" i="10"/>
  <c r="J295" i="10"/>
  <c r="H292" i="10"/>
  <c r="J292" i="10"/>
  <c r="I292" i="10"/>
  <c r="H287" i="10"/>
  <c r="I287" i="10"/>
  <c r="J287" i="10"/>
  <c r="H284" i="10"/>
  <c r="J284" i="10"/>
  <c r="I284" i="10"/>
  <c r="H279" i="10"/>
  <c r="I279" i="10"/>
  <c r="J279" i="10"/>
  <c r="H276" i="10"/>
  <c r="J276" i="10"/>
  <c r="I276" i="10"/>
  <c r="H271" i="10"/>
  <c r="I271" i="10"/>
  <c r="J271" i="10"/>
  <c r="H268" i="10"/>
  <c r="J268" i="10"/>
  <c r="I268" i="10"/>
  <c r="I264" i="10"/>
  <c r="J264" i="10"/>
  <c r="H264" i="10"/>
  <c r="I414" i="10"/>
  <c r="H414" i="10"/>
  <c r="J414" i="10"/>
  <c r="H412" i="10"/>
  <c r="J412" i="10"/>
  <c r="I412" i="10"/>
  <c r="I410" i="10"/>
  <c r="H410" i="10"/>
  <c r="J410" i="10"/>
  <c r="H408" i="10"/>
  <c r="I408" i="10"/>
  <c r="J408" i="10"/>
  <c r="I406" i="10"/>
  <c r="H406" i="10"/>
  <c r="J406" i="10"/>
  <c r="H404" i="10"/>
  <c r="J404" i="10"/>
  <c r="I404" i="10"/>
  <c r="I402" i="10"/>
  <c r="H402" i="10"/>
  <c r="J402" i="10"/>
  <c r="H400" i="10"/>
  <c r="J400" i="10"/>
  <c r="I400" i="10"/>
  <c r="I398" i="10"/>
  <c r="H398" i="10"/>
  <c r="J398" i="10"/>
  <c r="I393" i="10"/>
  <c r="H393" i="10"/>
  <c r="J393" i="10"/>
  <c r="I390" i="10"/>
  <c r="H390" i="10"/>
  <c r="J390" i="10"/>
  <c r="I385" i="10"/>
  <c r="H385" i="10"/>
  <c r="J385" i="10"/>
  <c r="I382" i="10"/>
  <c r="H382" i="10"/>
  <c r="J382" i="10"/>
  <c r="I377" i="10"/>
  <c r="H377" i="10"/>
  <c r="J377" i="10"/>
  <c r="I374" i="10"/>
  <c r="H374" i="10"/>
  <c r="J374" i="10"/>
  <c r="I369" i="10"/>
  <c r="H369" i="10"/>
  <c r="J369" i="10"/>
  <c r="I366" i="10"/>
  <c r="H366" i="10"/>
  <c r="J366" i="10"/>
  <c r="I361" i="10"/>
  <c r="H361" i="10"/>
  <c r="J361" i="10"/>
  <c r="I358" i="10"/>
  <c r="H358" i="10"/>
  <c r="J358" i="10"/>
  <c r="I353" i="10"/>
  <c r="H353" i="10"/>
  <c r="J353" i="10"/>
  <c r="H350" i="10"/>
  <c r="I350" i="10"/>
  <c r="J350" i="10"/>
  <c r="H345" i="10"/>
  <c r="I345" i="10"/>
  <c r="J345" i="10"/>
  <c r="H342" i="10"/>
  <c r="I342" i="10"/>
  <c r="J342" i="10"/>
  <c r="H337" i="10"/>
  <c r="I337" i="10"/>
  <c r="J337" i="10"/>
  <c r="H334" i="10"/>
  <c r="I334" i="10"/>
  <c r="J334" i="10"/>
  <c r="H329" i="10"/>
  <c r="I329" i="10"/>
  <c r="J329" i="10"/>
  <c r="H326" i="10"/>
  <c r="I326" i="10"/>
  <c r="J326" i="10"/>
  <c r="H321" i="10"/>
  <c r="I321" i="10"/>
  <c r="J321" i="10"/>
  <c r="H318" i="10"/>
  <c r="I318" i="10"/>
  <c r="J318" i="10"/>
  <c r="H313" i="10"/>
  <c r="I313" i="10"/>
  <c r="J313" i="10"/>
  <c r="H310" i="10"/>
  <c r="I310" i="10"/>
  <c r="J310" i="10"/>
  <c r="H305" i="10"/>
  <c r="I305" i="10"/>
  <c r="J305" i="10"/>
  <c r="H302" i="10"/>
  <c r="I302" i="10"/>
  <c r="J302" i="10"/>
  <c r="H297" i="10"/>
  <c r="I297" i="10"/>
  <c r="J297" i="10"/>
  <c r="H294" i="10"/>
  <c r="I294" i="10"/>
  <c r="J294" i="10"/>
  <c r="H289" i="10"/>
  <c r="I289" i="10"/>
  <c r="J289" i="10"/>
  <c r="H286" i="10"/>
  <c r="I286" i="10"/>
  <c r="J286" i="10"/>
  <c r="H281" i="10"/>
  <c r="I281" i="10"/>
  <c r="J281" i="10"/>
  <c r="H278" i="10"/>
  <c r="I278" i="10"/>
  <c r="J278" i="10"/>
  <c r="H273" i="10"/>
  <c r="I273" i="10"/>
  <c r="J273" i="10"/>
  <c r="H270" i="10"/>
  <c r="I270" i="10"/>
  <c r="J270" i="10"/>
  <c r="I395" i="10"/>
  <c r="H395" i="10"/>
  <c r="J395" i="10"/>
  <c r="H392" i="10"/>
  <c r="I392" i="10"/>
  <c r="J392" i="10"/>
  <c r="I387" i="10"/>
  <c r="H387" i="10"/>
  <c r="J387" i="10"/>
  <c r="H384" i="10"/>
  <c r="J384" i="10"/>
  <c r="I384" i="10"/>
  <c r="I379" i="10"/>
  <c r="J379" i="10"/>
  <c r="H379" i="10"/>
  <c r="H376" i="10"/>
  <c r="I376" i="10"/>
  <c r="J376" i="10"/>
  <c r="I371" i="10"/>
  <c r="H371" i="10"/>
  <c r="J371" i="10"/>
  <c r="H368" i="10"/>
  <c r="J368" i="10"/>
  <c r="I368" i="10"/>
  <c r="I363" i="10"/>
  <c r="J363" i="10"/>
  <c r="H363" i="10"/>
  <c r="H360" i="10"/>
  <c r="I360" i="10"/>
  <c r="J360" i="10"/>
  <c r="H355" i="10"/>
  <c r="I355" i="10"/>
  <c r="J355" i="10"/>
  <c r="H352" i="10"/>
  <c r="J352" i="10"/>
  <c r="I352" i="10"/>
  <c r="H347" i="10"/>
  <c r="I347" i="10"/>
  <c r="J347" i="10"/>
  <c r="H344" i="10"/>
  <c r="I344" i="10"/>
  <c r="J344" i="10"/>
  <c r="H339" i="10"/>
  <c r="I339" i="10"/>
  <c r="J339" i="10"/>
  <c r="H336" i="10"/>
  <c r="J336" i="10"/>
  <c r="I336" i="10"/>
  <c r="H331" i="10"/>
  <c r="I331" i="10"/>
  <c r="J331" i="10"/>
  <c r="I328" i="10"/>
  <c r="J328" i="10"/>
  <c r="H328" i="10"/>
  <c r="H323" i="10"/>
  <c r="I323" i="10"/>
  <c r="J323" i="10"/>
  <c r="H320" i="10"/>
  <c r="J320" i="10"/>
  <c r="I320" i="10"/>
  <c r="H315" i="10"/>
  <c r="I315" i="10"/>
  <c r="J315" i="10"/>
  <c r="H312" i="10"/>
  <c r="I312" i="10"/>
  <c r="J312" i="10"/>
  <c r="H307" i="10"/>
  <c r="I307" i="10"/>
  <c r="J307" i="10"/>
  <c r="H304" i="10"/>
  <c r="J304" i="10"/>
  <c r="I304" i="10"/>
  <c r="H299" i="10"/>
  <c r="I299" i="10"/>
  <c r="J299" i="10"/>
  <c r="I296" i="10"/>
  <c r="J296" i="10"/>
  <c r="H296" i="10"/>
  <c r="H291" i="10"/>
  <c r="I291" i="10"/>
  <c r="J291" i="10"/>
  <c r="H288" i="10"/>
  <c r="J288" i="10"/>
  <c r="I288" i="10"/>
  <c r="H283" i="10"/>
  <c r="I283" i="10"/>
  <c r="J283" i="10"/>
  <c r="I280" i="10"/>
  <c r="J280" i="10"/>
  <c r="H280" i="10"/>
  <c r="H275" i="10"/>
  <c r="I275" i="10"/>
  <c r="J275" i="10"/>
  <c r="H272" i="10"/>
  <c r="J272" i="10"/>
  <c r="I272" i="10"/>
  <c r="H266" i="10"/>
  <c r="I266" i="10"/>
  <c r="J266" i="10"/>
  <c r="H267" i="10"/>
  <c r="I267" i="10"/>
  <c r="J267" i="10"/>
  <c r="H265" i="10"/>
  <c r="I265" i="10"/>
  <c r="J265" i="10"/>
  <c r="H263" i="10"/>
  <c r="I263" i="10"/>
  <c r="J263" i="10"/>
  <c r="H261" i="10"/>
  <c r="I261" i="10"/>
  <c r="J261" i="10"/>
  <c r="H259" i="10"/>
  <c r="I259" i="10"/>
  <c r="J259" i="10"/>
  <c r="H257" i="10"/>
  <c r="I257" i="10"/>
  <c r="J257" i="10"/>
  <c r="H255" i="10"/>
  <c r="I255" i="10"/>
  <c r="J255" i="10"/>
  <c r="H253" i="10"/>
  <c r="I253" i="10"/>
  <c r="J253" i="10"/>
  <c r="H251" i="10"/>
  <c r="I251" i="10"/>
  <c r="J251" i="10"/>
  <c r="H249" i="10"/>
  <c r="I249" i="10"/>
  <c r="J249" i="10"/>
  <c r="H247" i="10"/>
  <c r="I247" i="10"/>
  <c r="J247" i="10"/>
  <c r="H245" i="10"/>
  <c r="I245" i="10"/>
  <c r="J245" i="10"/>
  <c r="H243" i="10"/>
  <c r="I243" i="10"/>
  <c r="J243" i="10"/>
  <c r="H241" i="10"/>
  <c r="I241" i="10"/>
  <c r="J241" i="10"/>
  <c r="H239" i="10"/>
  <c r="I239" i="10"/>
  <c r="J239" i="10"/>
  <c r="H237" i="10"/>
  <c r="I237" i="10"/>
  <c r="J237" i="10"/>
  <c r="H235" i="10"/>
  <c r="I235" i="10"/>
  <c r="J235" i="10"/>
  <c r="H233" i="10"/>
  <c r="I233" i="10"/>
  <c r="J233" i="10"/>
  <c r="H231" i="10"/>
  <c r="I231" i="10"/>
  <c r="J231" i="10"/>
  <c r="H229" i="10"/>
  <c r="I229" i="10"/>
  <c r="J229" i="10"/>
  <c r="H262" i="10"/>
  <c r="I262" i="10"/>
  <c r="J262" i="10"/>
  <c r="H260" i="10"/>
  <c r="J260" i="10"/>
  <c r="I260" i="10"/>
  <c r="H258" i="10"/>
  <c r="I258" i="10"/>
  <c r="J258" i="10"/>
  <c r="G256" i="10"/>
  <c r="G254" i="10"/>
  <c r="G252" i="10"/>
  <c r="G250" i="10"/>
  <c r="G248" i="10"/>
  <c r="G246" i="10"/>
  <c r="G244" i="10"/>
  <c r="G242" i="10"/>
  <c r="G240" i="10"/>
  <c r="G238" i="10"/>
  <c r="G236" i="10"/>
  <c r="G234" i="10"/>
  <c r="G232" i="10"/>
  <c r="G230" i="10"/>
  <c r="G228" i="10"/>
  <c r="I172" i="10"/>
  <c r="J172" i="10"/>
  <c r="H172" i="10"/>
  <c r="I140" i="10"/>
  <c r="J140" i="10"/>
  <c r="H140" i="10"/>
  <c r="I200" i="10"/>
  <c r="J200" i="10"/>
  <c r="H200" i="10"/>
  <c r="I184" i="10"/>
  <c r="J184" i="10"/>
  <c r="H184" i="10"/>
  <c r="I168" i="10"/>
  <c r="J168" i="10"/>
  <c r="H168" i="10"/>
  <c r="I152" i="10"/>
  <c r="H152" i="10"/>
  <c r="J152" i="10"/>
  <c r="J133" i="10"/>
  <c r="H133" i="10"/>
  <c r="I133" i="10"/>
  <c r="I156" i="10"/>
  <c r="J156" i="10"/>
  <c r="H156" i="10"/>
  <c r="I196" i="10"/>
  <c r="J196" i="10"/>
  <c r="H196" i="10"/>
  <c r="I180" i="10"/>
  <c r="J180" i="10"/>
  <c r="H180" i="10"/>
  <c r="I164" i="10"/>
  <c r="H164" i="10"/>
  <c r="J164" i="10"/>
  <c r="I148" i="10"/>
  <c r="J148" i="10"/>
  <c r="H148" i="10"/>
  <c r="J125" i="10"/>
  <c r="I125" i="10"/>
  <c r="H125" i="10"/>
  <c r="I188" i="10"/>
  <c r="J188" i="10"/>
  <c r="H188" i="10"/>
  <c r="J109" i="10"/>
  <c r="I109" i="10"/>
  <c r="H109" i="10"/>
  <c r="I192" i="10"/>
  <c r="H192" i="10"/>
  <c r="J192" i="10"/>
  <c r="I176" i="10"/>
  <c r="H176" i="10"/>
  <c r="J176" i="10"/>
  <c r="I160" i="10"/>
  <c r="H160" i="10"/>
  <c r="J160" i="10"/>
  <c r="I144" i="10"/>
  <c r="H144" i="10"/>
  <c r="J144" i="10"/>
  <c r="J117" i="10"/>
  <c r="H117" i="10"/>
  <c r="I117" i="10"/>
  <c r="H202" i="10"/>
  <c r="I202" i="10"/>
  <c r="J202" i="10"/>
  <c r="I199" i="10"/>
  <c r="H199" i="10"/>
  <c r="J199" i="10"/>
  <c r="I195" i="10"/>
  <c r="H195" i="10"/>
  <c r="J195" i="10"/>
  <c r="I191" i="10"/>
  <c r="H191" i="10"/>
  <c r="J191" i="10"/>
  <c r="I187" i="10"/>
  <c r="H187" i="10"/>
  <c r="J187" i="10"/>
  <c r="I183" i="10"/>
  <c r="H183" i="10"/>
  <c r="J183" i="10"/>
  <c r="I179" i="10"/>
  <c r="H179" i="10"/>
  <c r="J179" i="10"/>
  <c r="I175" i="10"/>
  <c r="H175" i="10"/>
  <c r="J175" i="10"/>
  <c r="I171" i="10"/>
  <c r="H171" i="10"/>
  <c r="J171" i="10"/>
  <c r="I167" i="10"/>
  <c r="H167" i="10"/>
  <c r="J167" i="10"/>
  <c r="I163" i="10"/>
  <c r="H163" i="10"/>
  <c r="J163" i="10"/>
  <c r="I159" i="10"/>
  <c r="H159" i="10"/>
  <c r="J159" i="10"/>
  <c r="I155" i="10"/>
  <c r="H155" i="10"/>
  <c r="J155" i="10"/>
  <c r="I151" i="10"/>
  <c r="H151" i="10"/>
  <c r="J151" i="10"/>
  <c r="I147" i="10"/>
  <c r="H147" i="10"/>
  <c r="J147" i="10"/>
  <c r="I143" i="10"/>
  <c r="H143" i="10"/>
  <c r="J143" i="10"/>
  <c r="I139" i="10"/>
  <c r="H139" i="10"/>
  <c r="J139" i="10"/>
  <c r="H131" i="10"/>
  <c r="I131" i="10"/>
  <c r="J131" i="10"/>
  <c r="I123" i="10"/>
  <c r="H123" i="10"/>
  <c r="J123" i="10"/>
  <c r="H115" i="10"/>
  <c r="I115" i="10"/>
  <c r="J115" i="10"/>
  <c r="I107" i="10"/>
  <c r="H107" i="10"/>
  <c r="J107" i="10"/>
  <c r="J204" i="10"/>
  <c r="H204" i="10"/>
  <c r="I204" i="10"/>
  <c r="H201" i="10"/>
  <c r="I201" i="10"/>
  <c r="J201" i="10"/>
  <c r="H198" i="10"/>
  <c r="I198" i="10"/>
  <c r="J198" i="10"/>
  <c r="H194" i="10"/>
  <c r="J194" i="10"/>
  <c r="I194" i="10"/>
  <c r="H190" i="10"/>
  <c r="J190" i="10"/>
  <c r="I190" i="10"/>
  <c r="H186" i="10"/>
  <c r="I186" i="10"/>
  <c r="J186" i="10"/>
  <c r="H182" i="10"/>
  <c r="J182" i="10"/>
  <c r="I182" i="10"/>
  <c r="H178" i="10"/>
  <c r="J178" i="10"/>
  <c r="I178" i="10"/>
  <c r="H174" i="10"/>
  <c r="I174" i="10"/>
  <c r="J174" i="10"/>
  <c r="H170" i="10"/>
  <c r="I170" i="10"/>
  <c r="J170" i="10"/>
  <c r="H166" i="10"/>
  <c r="I166" i="10"/>
  <c r="J166" i="10"/>
  <c r="H162" i="10"/>
  <c r="J162" i="10"/>
  <c r="I162" i="10"/>
  <c r="H158" i="10"/>
  <c r="I158" i="10"/>
  <c r="J158" i="10"/>
  <c r="H154" i="10"/>
  <c r="I154" i="10"/>
  <c r="J154" i="10"/>
  <c r="H150" i="10"/>
  <c r="J150" i="10"/>
  <c r="I150" i="10"/>
  <c r="H146" i="10"/>
  <c r="J146" i="10"/>
  <c r="I146" i="10"/>
  <c r="H142" i="10"/>
  <c r="I142" i="10"/>
  <c r="J142" i="10"/>
  <c r="H137" i="10"/>
  <c r="J137" i="10"/>
  <c r="I137" i="10"/>
  <c r="J129" i="10"/>
  <c r="H129" i="10"/>
  <c r="I129" i="10"/>
  <c r="H121" i="10"/>
  <c r="J121" i="10"/>
  <c r="I121" i="10"/>
  <c r="J113" i="10"/>
  <c r="H113" i="10"/>
  <c r="I113" i="10"/>
  <c r="H105" i="10"/>
  <c r="J105" i="10"/>
  <c r="I105" i="10"/>
  <c r="I203" i="10"/>
  <c r="H203" i="10"/>
  <c r="J203" i="10"/>
  <c r="H197" i="10"/>
  <c r="I197" i="10"/>
  <c r="J197" i="10"/>
  <c r="H193" i="10"/>
  <c r="I193" i="10"/>
  <c r="J193" i="10"/>
  <c r="H189" i="10"/>
  <c r="I189" i="10"/>
  <c r="J189" i="10"/>
  <c r="H185" i="10"/>
  <c r="I185" i="10"/>
  <c r="J185" i="10"/>
  <c r="H181" i="10"/>
  <c r="I181" i="10"/>
  <c r="J181" i="10"/>
  <c r="H177" i="10"/>
  <c r="I177" i="10"/>
  <c r="J177" i="10"/>
  <c r="H173" i="10"/>
  <c r="I173" i="10"/>
  <c r="J173" i="10"/>
  <c r="H169" i="10"/>
  <c r="I169" i="10"/>
  <c r="J169" i="10"/>
  <c r="H165" i="10"/>
  <c r="J165" i="10"/>
  <c r="I165" i="10"/>
  <c r="H161" i="10"/>
  <c r="J161" i="10"/>
  <c r="I161" i="10"/>
  <c r="H157" i="10"/>
  <c r="J157" i="10"/>
  <c r="I157" i="10"/>
  <c r="H153" i="10"/>
  <c r="J153" i="10"/>
  <c r="I153" i="10"/>
  <c r="H149" i="10"/>
  <c r="J149" i="10"/>
  <c r="I149" i="10"/>
  <c r="H145" i="10"/>
  <c r="J145" i="10"/>
  <c r="I145" i="10"/>
  <c r="H141" i="10"/>
  <c r="J141" i="10"/>
  <c r="I141" i="10"/>
  <c r="I135" i="10"/>
  <c r="J135" i="10"/>
  <c r="H135" i="10"/>
  <c r="I127" i="10"/>
  <c r="H127" i="10"/>
  <c r="J127" i="10"/>
  <c r="I119" i="10"/>
  <c r="J119" i="10"/>
  <c r="H119" i="10"/>
  <c r="I111" i="10"/>
  <c r="H111" i="10"/>
  <c r="J111" i="10"/>
  <c r="I103" i="10"/>
  <c r="J103" i="10"/>
  <c r="H103" i="10"/>
  <c r="J226" i="10"/>
  <c r="I226" i="10"/>
  <c r="H226" i="10"/>
  <c r="I224" i="10"/>
  <c r="H224" i="10"/>
  <c r="J224" i="10"/>
  <c r="J222" i="10"/>
  <c r="I222" i="10"/>
  <c r="H222" i="10"/>
  <c r="I220" i="10"/>
  <c r="H220" i="10"/>
  <c r="J220" i="10"/>
  <c r="J218" i="10"/>
  <c r="I218" i="10"/>
  <c r="H218" i="10"/>
  <c r="I216" i="10"/>
  <c r="H216" i="10"/>
  <c r="J216" i="10"/>
  <c r="J214" i="10"/>
  <c r="I214" i="10"/>
  <c r="H214" i="10"/>
  <c r="I212" i="10"/>
  <c r="H212" i="10"/>
  <c r="J212" i="10"/>
  <c r="J210" i="10"/>
  <c r="I210" i="10"/>
  <c r="H210" i="10"/>
  <c r="I208" i="10"/>
  <c r="H208" i="10"/>
  <c r="J208" i="10"/>
  <c r="J206" i="10"/>
  <c r="I206" i="10"/>
  <c r="H206" i="10"/>
  <c r="H138" i="10"/>
  <c r="I138" i="10"/>
  <c r="J138" i="10"/>
  <c r="H136" i="10"/>
  <c r="I136" i="10"/>
  <c r="J136" i="10"/>
  <c r="H134" i="10"/>
  <c r="I134" i="10"/>
  <c r="J134" i="10"/>
  <c r="H132" i="10"/>
  <c r="I132" i="10"/>
  <c r="J132" i="10"/>
  <c r="J130" i="10"/>
  <c r="H130" i="10"/>
  <c r="I130" i="10"/>
  <c r="H128" i="10"/>
  <c r="I128" i="10"/>
  <c r="J128" i="10"/>
  <c r="H126" i="10"/>
  <c r="I126" i="10"/>
  <c r="J126" i="10"/>
  <c r="H124" i="10"/>
  <c r="I124" i="10"/>
  <c r="J124" i="10"/>
  <c r="H122" i="10"/>
  <c r="I122" i="10"/>
  <c r="J122" i="10"/>
  <c r="H120" i="10"/>
  <c r="I120" i="10"/>
  <c r="J120" i="10"/>
  <c r="H118" i="10"/>
  <c r="J118" i="10"/>
  <c r="I118" i="10"/>
  <c r="H116" i="10"/>
  <c r="I116" i="10"/>
  <c r="J116" i="10"/>
  <c r="J114" i="10"/>
  <c r="H114" i="10"/>
  <c r="I114" i="10"/>
  <c r="H112" i="10"/>
  <c r="I112" i="10"/>
  <c r="J112" i="10"/>
  <c r="H110" i="10"/>
  <c r="I110" i="10"/>
  <c r="J110" i="10"/>
  <c r="G108" i="10"/>
  <c r="G106" i="10"/>
  <c r="G104" i="10"/>
  <c r="G227" i="10"/>
  <c r="G225" i="10"/>
  <c r="G223" i="10"/>
  <c r="G221" i="10"/>
  <c r="G219" i="10"/>
  <c r="G217" i="10"/>
  <c r="G215" i="10"/>
  <c r="G213" i="10"/>
  <c r="G211" i="10"/>
  <c r="G209" i="10"/>
  <c r="G207" i="10"/>
  <c r="G205" i="10"/>
  <c r="G101" i="10"/>
  <c r="G99" i="10"/>
  <c r="G97" i="10"/>
  <c r="G95" i="10"/>
  <c r="G93" i="10"/>
  <c r="G91" i="10"/>
  <c r="G89" i="10"/>
  <c r="G87" i="10"/>
  <c r="G85" i="10"/>
  <c r="G83" i="10"/>
  <c r="G81" i="10"/>
  <c r="G79" i="10"/>
  <c r="G77" i="10"/>
  <c r="G75" i="10"/>
  <c r="G73" i="10"/>
  <c r="G71" i="10"/>
  <c r="G69" i="10"/>
  <c r="G102" i="10"/>
  <c r="G100" i="10"/>
  <c r="G98" i="10"/>
  <c r="G96" i="10"/>
  <c r="G94" i="10"/>
  <c r="G92" i="10"/>
  <c r="G90" i="10"/>
  <c r="G88" i="10"/>
  <c r="G86" i="10"/>
  <c r="G84" i="10"/>
  <c r="G82" i="10"/>
  <c r="G80" i="10"/>
  <c r="G78" i="10"/>
  <c r="G76" i="10"/>
  <c r="G74" i="10"/>
  <c r="G72" i="10"/>
  <c r="G70" i="10"/>
  <c r="G68" i="10"/>
  <c r="G66" i="10"/>
  <c r="G62" i="10"/>
  <c r="G58" i="10"/>
  <c r="G54" i="10"/>
  <c r="G50" i="10"/>
  <c r="G46" i="10"/>
  <c r="G42" i="10"/>
  <c r="G38" i="10"/>
  <c r="G34" i="10"/>
  <c r="G30" i="10"/>
  <c r="G26" i="10"/>
  <c r="G22" i="10"/>
  <c r="G18" i="10"/>
  <c r="G14" i="10"/>
  <c r="G10" i="10"/>
  <c r="G6" i="10"/>
  <c r="G64" i="10"/>
  <c r="G60" i="10"/>
  <c r="G56" i="10"/>
  <c r="G52" i="10"/>
  <c r="G48" i="10"/>
  <c r="G44" i="10"/>
  <c r="G40" i="10"/>
  <c r="G36" i="10"/>
  <c r="G32" i="10"/>
  <c r="G28" i="10"/>
  <c r="G24" i="10"/>
  <c r="G20" i="10"/>
  <c r="G16" i="10"/>
  <c r="G12" i="10"/>
  <c r="G8" i="10"/>
  <c r="G4" i="10"/>
  <c r="G67" i="10"/>
  <c r="G65" i="10"/>
  <c r="G63" i="10"/>
  <c r="G61" i="10"/>
  <c r="G59" i="10"/>
  <c r="G57" i="10"/>
  <c r="G55" i="10"/>
  <c r="G53" i="10"/>
  <c r="G51" i="10"/>
  <c r="G49" i="10"/>
  <c r="G47" i="10"/>
  <c r="G45" i="10"/>
  <c r="G43" i="10"/>
  <c r="G41" i="10"/>
  <c r="G39" i="10"/>
  <c r="G37" i="10"/>
  <c r="G35" i="10"/>
  <c r="G33" i="10"/>
  <c r="G31" i="10"/>
  <c r="G29" i="10"/>
  <c r="G27" i="10"/>
  <c r="G25" i="10"/>
  <c r="G23" i="10"/>
  <c r="G21" i="10"/>
  <c r="G19" i="10"/>
  <c r="G17" i="10"/>
  <c r="G15" i="10"/>
  <c r="G13" i="10"/>
  <c r="G11" i="10"/>
  <c r="G9" i="10"/>
  <c r="G7" i="10"/>
  <c r="G5" i="10"/>
  <c r="G3" i="10"/>
  <c r="G2" i="6" a="1"/>
  <c r="H731" i="10" l="1"/>
  <c r="I731" i="10"/>
  <c r="J731" i="10"/>
  <c r="H825" i="10"/>
  <c r="J825" i="10"/>
  <c r="I825" i="10"/>
  <c r="I857" i="10"/>
  <c r="H857" i="10"/>
  <c r="J857" i="10"/>
  <c r="H822" i="10"/>
  <c r="I822" i="10"/>
  <c r="J822" i="10"/>
  <c r="H912" i="10"/>
  <c r="J912" i="10"/>
  <c r="I912" i="10"/>
  <c r="H944" i="10"/>
  <c r="J944" i="10"/>
  <c r="I944" i="10"/>
  <c r="H976" i="10"/>
  <c r="J976" i="10"/>
  <c r="I976" i="10"/>
  <c r="I1006" i="10"/>
  <c r="H1006" i="10"/>
  <c r="J1006" i="10"/>
  <c r="I1022" i="10"/>
  <c r="H1022" i="10"/>
  <c r="J1022" i="10"/>
  <c r="I1038" i="10"/>
  <c r="H1038" i="10"/>
  <c r="J1038" i="10"/>
  <c r="I1054" i="10"/>
  <c r="H1054" i="10"/>
  <c r="J1054" i="10"/>
  <c r="I1070" i="10"/>
  <c r="J1070" i="10"/>
  <c r="H1070" i="10"/>
  <c r="I1086" i="10"/>
  <c r="J1086" i="10"/>
  <c r="H1086" i="10"/>
  <c r="I1102" i="10"/>
  <c r="H1102" i="10"/>
  <c r="J1102" i="10"/>
  <c r="I1118" i="10"/>
  <c r="H1118" i="10"/>
  <c r="J1118" i="10"/>
  <c r="I1134" i="10"/>
  <c r="H1134" i="10"/>
  <c r="J1134" i="10"/>
  <c r="H858" i="10"/>
  <c r="I858" i="10"/>
  <c r="J858" i="10"/>
  <c r="H925" i="10"/>
  <c r="I925" i="10"/>
  <c r="J925" i="10"/>
  <c r="H957" i="10"/>
  <c r="I957" i="10"/>
  <c r="J957" i="10"/>
  <c r="H989" i="10"/>
  <c r="I989" i="10"/>
  <c r="J989" i="10"/>
  <c r="H846" i="10"/>
  <c r="I846" i="10"/>
  <c r="J846" i="10"/>
  <c r="H918" i="10"/>
  <c r="I918" i="10"/>
  <c r="J918" i="10"/>
  <c r="H950" i="10"/>
  <c r="I950" i="10"/>
  <c r="J950" i="10"/>
  <c r="H982" i="10"/>
  <c r="I982" i="10"/>
  <c r="J982" i="10"/>
  <c r="H1009" i="10"/>
  <c r="I1009" i="10"/>
  <c r="J1009" i="10"/>
  <c r="H1025" i="10"/>
  <c r="I1025" i="10"/>
  <c r="J1025" i="10"/>
  <c r="H1041" i="10"/>
  <c r="I1041" i="10"/>
  <c r="J1041" i="10"/>
  <c r="H1057" i="10"/>
  <c r="I1057" i="10"/>
  <c r="J1057" i="10"/>
  <c r="H1073" i="10"/>
  <c r="I1073" i="10"/>
  <c r="J1073" i="10"/>
  <c r="H1089" i="10"/>
  <c r="I1089" i="10"/>
  <c r="J1089" i="10"/>
  <c r="H1105" i="10"/>
  <c r="I1105" i="10"/>
  <c r="J1105" i="10"/>
  <c r="H1121" i="10"/>
  <c r="I1121" i="10"/>
  <c r="J1121" i="10"/>
  <c r="H1137" i="10"/>
  <c r="I1137" i="10"/>
  <c r="J1137" i="10"/>
  <c r="H979" i="10"/>
  <c r="I979" i="10"/>
  <c r="J979" i="10"/>
  <c r="H967" i="10"/>
  <c r="I967" i="10"/>
  <c r="J967" i="10"/>
  <c r="H971" i="10"/>
  <c r="I971" i="10"/>
  <c r="J971" i="10"/>
  <c r="H975" i="10"/>
  <c r="I975" i="10"/>
  <c r="J975" i="10"/>
  <c r="I489" i="10"/>
  <c r="J489" i="10"/>
  <c r="H553" i="10"/>
  <c r="I553" i="10"/>
  <c r="I603" i="10"/>
  <c r="H603" i="10"/>
  <c r="J603" i="10"/>
  <c r="I619" i="10"/>
  <c r="J619" i="10"/>
  <c r="J492" i="10"/>
  <c r="I492" i="10"/>
  <c r="J545" i="10"/>
  <c r="H545" i="10"/>
  <c r="I545" i="10"/>
  <c r="J591" i="10"/>
  <c r="I591" i="10"/>
  <c r="J607" i="10"/>
  <c r="I607" i="10"/>
  <c r="J623" i="10"/>
  <c r="I623" i="10"/>
  <c r="J524" i="10"/>
  <c r="H524" i="10"/>
  <c r="I574" i="10"/>
  <c r="J574" i="10"/>
  <c r="J579" i="10"/>
  <c r="I579" i="10"/>
  <c r="H678" i="10"/>
  <c r="I804" i="10"/>
  <c r="I845" i="10"/>
  <c r="H878" i="10"/>
  <c r="H889" i="10"/>
  <c r="I932" i="10"/>
  <c r="I964" i="10"/>
  <c r="I996" i="10"/>
  <c r="I1016" i="10"/>
  <c r="I1032" i="10"/>
  <c r="I1048" i="10"/>
  <c r="I1064" i="10"/>
  <c r="I1080" i="10"/>
  <c r="I1096" i="10"/>
  <c r="I1112" i="10"/>
  <c r="I1128" i="10"/>
  <c r="H798" i="10"/>
  <c r="I913" i="10"/>
  <c r="I945" i="10"/>
  <c r="I977" i="10"/>
  <c r="H766" i="10"/>
  <c r="I901" i="10"/>
  <c r="I938" i="10"/>
  <c r="H970" i="10"/>
  <c r="H1002" i="10"/>
  <c r="I1019" i="10"/>
  <c r="I1035" i="10"/>
  <c r="I1051" i="10"/>
  <c r="I1067" i="10"/>
  <c r="I1083" i="10"/>
  <c r="I1099" i="10"/>
  <c r="I1115" i="10"/>
  <c r="I1131" i="10"/>
  <c r="I931" i="10"/>
  <c r="I919" i="10"/>
  <c r="I923" i="10"/>
  <c r="I879" i="10"/>
  <c r="I678" i="10"/>
  <c r="H804" i="10"/>
  <c r="H845" i="10"/>
  <c r="I878" i="10"/>
  <c r="I889" i="10"/>
  <c r="H932" i="10"/>
  <c r="H964" i="10"/>
  <c r="H996" i="10"/>
  <c r="H1016" i="10"/>
  <c r="H1032" i="10"/>
  <c r="H1048" i="10"/>
  <c r="H1064" i="10"/>
  <c r="H1080" i="10"/>
  <c r="H1096" i="10"/>
  <c r="H1112" i="10"/>
  <c r="H1128" i="10"/>
  <c r="I798" i="10"/>
  <c r="H913" i="10"/>
  <c r="H945" i="10"/>
  <c r="H977" i="10"/>
  <c r="I766" i="10"/>
  <c r="H901" i="10"/>
  <c r="H938" i="10"/>
  <c r="I970" i="10"/>
  <c r="I1002" i="10"/>
  <c r="H1019" i="10"/>
  <c r="H1035" i="10"/>
  <c r="H1051" i="10"/>
  <c r="H1067" i="10"/>
  <c r="H1083" i="10"/>
  <c r="H1099" i="10"/>
  <c r="H1115" i="10"/>
  <c r="H1131" i="10"/>
  <c r="H931" i="10"/>
  <c r="H919" i="10"/>
  <c r="H923" i="10"/>
  <c r="H879" i="10"/>
  <c r="J1139" i="10"/>
  <c r="H1139" i="10"/>
  <c r="I1139" i="10"/>
  <c r="H1141" i="10"/>
  <c r="I1141" i="10"/>
  <c r="J1141" i="10"/>
  <c r="J1143" i="10"/>
  <c r="H1143" i="10"/>
  <c r="I1143" i="10"/>
  <c r="H1145" i="10"/>
  <c r="J1145" i="10"/>
  <c r="I1145" i="10"/>
  <c r="J1147" i="10"/>
  <c r="H1147" i="10"/>
  <c r="I1147" i="10"/>
  <c r="H1149" i="10"/>
  <c r="I1149" i="10"/>
  <c r="J1149" i="10"/>
  <c r="J1151" i="10"/>
  <c r="H1151" i="10"/>
  <c r="I1151" i="10"/>
  <c r="H1153" i="10"/>
  <c r="J1153" i="10"/>
  <c r="I1153" i="10"/>
  <c r="J1155" i="10"/>
  <c r="H1155" i="10"/>
  <c r="I1155" i="10"/>
  <c r="H1157" i="10"/>
  <c r="I1157" i="10"/>
  <c r="J1157" i="10"/>
  <c r="J1159" i="10"/>
  <c r="H1159" i="10"/>
  <c r="I1159" i="10"/>
  <c r="H1161" i="10"/>
  <c r="I1161" i="10"/>
  <c r="J1161" i="10"/>
  <c r="J1163" i="10"/>
  <c r="H1163" i="10"/>
  <c r="I1163" i="10"/>
  <c r="H1165" i="10"/>
  <c r="J1165" i="10"/>
  <c r="I1165" i="10"/>
  <c r="J1167" i="10"/>
  <c r="H1167" i="10"/>
  <c r="I1167" i="10"/>
  <c r="H629" i="10"/>
  <c r="I629" i="10"/>
  <c r="J629" i="10"/>
  <c r="H631" i="10"/>
  <c r="I631" i="10"/>
  <c r="J631" i="10"/>
  <c r="H633" i="10"/>
  <c r="I633" i="10"/>
  <c r="J633" i="10"/>
  <c r="H635" i="10"/>
  <c r="I635" i="10"/>
  <c r="J635" i="10"/>
  <c r="H637" i="10"/>
  <c r="I637" i="10"/>
  <c r="J637" i="10"/>
  <c r="H639" i="10"/>
  <c r="I639" i="10"/>
  <c r="J639" i="10"/>
  <c r="H641" i="10"/>
  <c r="I641" i="10"/>
  <c r="J641" i="10"/>
  <c r="H643" i="10"/>
  <c r="I643" i="10"/>
  <c r="J643" i="10"/>
  <c r="H645" i="10"/>
  <c r="I645" i="10"/>
  <c r="J645" i="10"/>
  <c r="H647" i="10"/>
  <c r="I647" i="10"/>
  <c r="J647" i="10"/>
  <c r="H649" i="10"/>
  <c r="I649" i="10"/>
  <c r="J649" i="10"/>
  <c r="H651" i="10"/>
  <c r="I651" i="10"/>
  <c r="J651" i="10"/>
  <c r="H653" i="10"/>
  <c r="I653" i="10"/>
  <c r="J653" i="10"/>
  <c r="H655" i="10"/>
  <c r="I655" i="10"/>
  <c r="J655" i="10"/>
  <c r="H657" i="10"/>
  <c r="I657" i="10"/>
  <c r="J657" i="10"/>
  <c r="H415" i="10"/>
  <c r="J415" i="10"/>
  <c r="I415" i="10"/>
  <c r="H417" i="10"/>
  <c r="I417" i="10"/>
  <c r="J417" i="10"/>
  <c r="H419" i="10"/>
  <c r="J419" i="10"/>
  <c r="I419" i="10"/>
  <c r="H421" i="10"/>
  <c r="I421" i="10"/>
  <c r="J421" i="10"/>
  <c r="H423" i="10"/>
  <c r="J423" i="10"/>
  <c r="I423" i="10"/>
  <c r="H425" i="10"/>
  <c r="I425" i="10"/>
  <c r="J425" i="10"/>
  <c r="H427" i="10"/>
  <c r="I427" i="10"/>
  <c r="J427" i="10"/>
  <c r="H429" i="10"/>
  <c r="I429" i="10"/>
  <c r="J429" i="10"/>
  <c r="H431" i="10"/>
  <c r="J431" i="10"/>
  <c r="I431" i="10"/>
  <c r="H433" i="10"/>
  <c r="I433" i="10"/>
  <c r="J433" i="10"/>
  <c r="H435" i="10"/>
  <c r="J435" i="10"/>
  <c r="I435" i="10"/>
  <c r="H437" i="10"/>
  <c r="I437" i="10"/>
  <c r="J437" i="10"/>
  <c r="H439" i="10"/>
  <c r="J439" i="10"/>
  <c r="I439" i="10"/>
  <c r="H441" i="10"/>
  <c r="I441" i="10"/>
  <c r="J441" i="10"/>
  <c r="H443" i="10"/>
  <c r="I443" i="10"/>
  <c r="J443" i="10"/>
  <c r="H228" i="10"/>
  <c r="J228" i="10"/>
  <c r="I228" i="10"/>
  <c r="H230" i="10"/>
  <c r="J230" i="10"/>
  <c r="I230" i="10"/>
  <c r="I232" i="10"/>
  <c r="J232" i="10"/>
  <c r="H232" i="10"/>
  <c r="H234" i="10"/>
  <c r="I234" i="10"/>
  <c r="J234" i="10"/>
  <c r="H236" i="10"/>
  <c r="J236" i="10"/>
  <c r="I236" i="10"/>
  <c r="H238" i="10"/>
  <c r="I238" i="10"/>
  <c r="J238" i="10"/>
  <c r="H240" i="10"/>
  <c r="J240" i="10"/>
  <c r="I240" i="10"/>
  <c r="H242" i="10"/>
  <c r="I242" i="10"/>
  <c r="J242" i="10"/>
  <c r="H244" i="10"/>
  <c r="J244" i="10"/>
  <c r="I244" i="10"/>
  <c r="H246" i="10"/>
  <c r="I246" i="10"/>
  <c r="J246" i="10"/>
  <c r="H248" i="10"/>
  <c r="I248" i="10"/>
  <c r="J248" i="10"/>
  <c r="H250" i="10"/>
  <c r="I250" i="10"/>
  <c r="J250" i="10"/>
  <c r="H252" i="10"/>
  <c r="J252" i="10"/>
  <c r="I252" i="10"/>
  <c r="H254" i="10"/>
  <c r="I254" i="10"/>
  <c r="J254" i="10"/>
  <c r="H256" i="10"/>
  <c r="J256" i="10"/>
  <c r="I256" i="10"/>
  <c r="J205" i="10"/>
  <c r="I205" i="10"/>
  <c r="H205" i="10"/>
  <c r="H207" i="10"/>
  <c r="J207" i="10"/>
  <c r="I207" i="10"/>
  <c r="J209" i="10"/>
  <c r="I209" i="10"/>
  <c r="H209" i="10"/>
  <c r="H211" i="10"/>
  <c r="J211" i="10"/>
  <c r="I211" i="10"/>
  <c r="J213" i="10"/>
  <c r="I213" i="10"/>
  <c r="H213" i="10"/>
  <c r="H215" i="10"/>
  <c r="J215" i="10"/>
  <c r="I215" i="10"/>
  <c r="J217" i="10"/>
  <c r="I217" i="10"/>
  <c r="H217" i="10"/>
  <c r="H219" i="10"/>
  <c r="J219" i="10"/>
  <c r="I219" i="10"/>
  <c r="J221" i="10"/>
  <c r="I221" i="10"/>
  <c r="H221" i="10"/>
  <c r="H223" i="10"/>
  <c r="J223" i="10"/>
  <c r="I223" i="10"/>
  <c r="J225" i="10"/>
  <c r="I225" i="10"/>
  <c r="H225" i="10"/>
  <c r="H227" i="10"/>
  <c r="J227" i="10"/>
  <c r="I227" i="10"/>
  <c r="H104" i="10"/>
  <c r="I104" i="10"/>
  <c r="J104" i="10"/>
  <c r="H106" i="10"/>
  <c r="I106" i="10"/>
  <c r="J106" i="10"/>
  <c r="H108" i="10"/>
  <c r="I108" i="10"/>
  <c r="J108" i="10"/>
  <c r="J68" i="10"/>
  <c r="I68" i="10"/>
  <c r="H68" i="10"/>
  <c r="H70" i="10"/>
  <c r="I70" i="10"/>
  <c r="J70" i="10"/>
  <c r="J72" i="10"/>
  <c r="I72" i="10"/>
  <c r="H72" i="10"/>
  <c r="H74" i="10"/>
  <c r="J74" i="10"/>
  <c r="I74" i="10"/>
  <c r="J76" i="10"/>
  <c r="I76" i="10"/>
  <c r="H76" i="10"/>
  <c r="H78" i="10"/>
  <c r="J78" i="10"/>
  <c r="I78" i="10"/>
  <c r="J80" i="10"/>
  <c r="I80" i="10"/>
  <c r="H80" i="10"/>
  <c r="H82" i="10"/>
  <c r="J82" i="10"/>
  <c r="I82" i="10"/>
  <c r="J84" i="10"/>
  <c r="I84" i="10"/>
  <c r="H84" i="10"/>
  <c r="H86" i="10"/>
  <c r="J86" i="10"/>
  <c r="I86" i="10"/>
  <c r="J88" i="10"/>
  <c r="I88" i="10"/>
  <c r="H88" i="10"/>
  <c r="H90" i="10"/>
  <c r="J90" i="10"/>
  <c r="I90" i="10"/>
  <c r="J92" i="10"/>
  <c r="I92" i="10"/>
  <c r="H92" i="10"/>
  <c r="H94" i="10"/>
  <c r="J94" i="10"/>
  <c r="I94" i="10"/>
  <c r="J96" i="10"/>
  <c r="I96" i="10"/>
  <c r="H96" i="10"/>
  <c r="H98" i="10"/>
  <c r="J98" i="10"/>
  <c r="I98" i="10"/>
  <c r="I100" i="10"/>
  <c r="J100" i="10"/>
  <c r="H100" i="10"/>
  <c r="H102" i="10"/>
  <c r="J102" i="10"/>
  <c r="I102" i="10"/>
  <c r="J69" i="10"/>
  <c r="H69" i="10"/>
  <c r="I69" i="10"/>
  <c r="I71" i="10"/>
  <c r="H71" i="10"/>
  <c r="J71" i="10"/>
  <c r="J73" i="10"/>
  <c r="I73" i="10"/>
  <c r="H73" i="10"/>
  <c r="I75" i="10"/>
  <c r="H75" i="10"/>
  <c r="J75" i="10"/>
  <c r="J77" i="10"/>
  <c r="I77" i="10"/>
  <c r="H77" i="10"/>
  <c r="I79" i="10"/>
  <c r="H79" i="10"/>
  <c r="J79" i="10"/>
  <c r="J81" i="10"/>
  <c r="H81" i="10"/>
  <c r="I81" i="10"/>
  <c r="I83" i="10"/>
  <c r="H83" i="10"/>
  <c r="J83" i="10"/>
  <c r="J85" i="10"/>
  <c r="I85" i="10"/>
  <c r="H85" i="10"/>
  <c r="I87" i="10"/>
  <c r="H87" i="10"/>
  <c r="J87" i="10"/>
  <c r="J89" i="10"/>
  <c r="H89" i="10"/>
  <c r="I89" i="10"/>
  <c r="I91" i="10"/>
  <c r="H91" i="10"/>
  <c r="J91" i="10"/>
  <c r="J93" i="10"/>
  <c r="I93" i="10"/>
  <c r="H93" i="10"/>
  <c r="I95" i="10"/>
  <c r="H95" i="10"/>
  <c r="J95" i="10"/>
  <c r="J97" i="10"/>
  <c r="H97" i="10"/>
  <c r="I97" i="10"/>
  <c r="I99" i="10"/>
  <c r="H99" i="10"/>
  <c r="J99" i="10"/>
  <c r="J101" i="10"/>
  <c r="I101" i="10"/>
  <c r="H101" i="10"/>
  <c r="I59" i="10"/>
  <c r="J59" i="10"/>
  <c r="H59" i="10"/>
  <c r="H5" i="10"/>
  <c r="J5" i="10"/>
  <c r="I5" i="10"/>
  <c r="I29" i="10"/>
  <c r="H29" i="10"/>
  <c r="J29" i="10"/>
  <c r="H53" i="10"/>
  <c r="I53" i="10"/>
  <c r="J53" i="10"/>
  <c r="J61" i="10"/>
  <c r="H61" i="10"/>
  <c r="I61" i="10"/>
  <c r="H12" i="10"/>
  <c r="I12" i="10"/>
  <c r="J12" i="10"/>
  <c r="H28" i="10"/>
  <c r="I28" i="10"/>
  <c r="J28" i="10"/>
  <c r="H44" i="10"/>
  <c r="I44" i="10"/>
  <c r="J44" i="10"/>
  <c r="H60" i="10"/>
  <c r="I60" i="10"/>
  <c r="J60" i="10"/>
  <c r="H10" i="10"/>
  <c r="I10" i="10"/>
  <c r="J10" i="10"/>
  <c r="H26" i="10"/>
  <c r="I26" i="10"/>
  <c r="J26" i="10"/>
  <c r="H42" i="10"/>
  <c r="I42" i="10"/>
  <c r="J42" i="10"/>
  <c r="H58" i="10"/>
  <c r="I58" i="10"/>
  <c r="J58" i="10"/>
  <c r="J3" i="10"/>
  <c r="H3" i="10"/>
  <c r="I3" i="10"/>
  <c r="I27" i="10"/>
  <c r="J27" i="10"/>
  <c r="H27" i="10"/>
  <c r="I51" i="10"/>
  <c r="J51" i="10"/>
  <c r="H51" i="10"/>
  <c r="H8" i="10"/>
  <c r="I8" i="10"/>
  <c r="J8" i="10"/>
  <c r="H24" i="10"/>
  <c r="I24" i="10"/>
  <c r="J24" i="10"/>
  <c r="H56" i="10"/>
  <c r="I56" i="10"/>
  <c r="J56" i="10"/>
  <c r="I22" i="10"/>
  <c r="H22" i="10"/>
  <c r="J22" i="10"/>
  <c r="H54" i="10"/>
  <c r="J54" i="10"/>
  <c r="I54" i="10"/>
  <c r="H21" i="10"/>
  <c r="I21" i="10"/>
  <c r="J21" i="10"/>
  <c r="H37" i="10"/>
  <c r="J37" i="10"/>
  <c r="I37" i="10"/>
  <c r="J23" i="10"/>
  <c r="I23" i="10"/>
  <c r="H23" i="10"/>
  <c r="H31" i="10"/>
  <c r="J31" i="10"/>
  <c r="I31" i="10"/>
  <c r="J39" i="10"/>
  <c r="I39" i="10"/>
  <c r="H39" i="10"/>
  <c r="H47" i="10"/>
  <c r="I47" i="10"/>
  <c r="J47" i="10"/>
  <c r="I55" i="10"/>
  <c r="J55" i="10"/>
  <c r="H55" i="10"/>
  <c r="H63" i="10"/>
  <c r="I63" i="10"/>
  <c r="J63" i="10"/>
  <c r="H16" i="10"/>
  <c r="I16" i="10"/>
  <c r="J16" i="10"/>
  <c r="H32" i="10"/>
  <c r="I32" i="10"/>
  <c r="J32" i="10"/>
  <c r="H48" i="10"/>
  <c r="I48" i="10"/>
  <c r="J48" i="10"/>
  <c r="H64" i="10"/>
  <c r="I64" i="10"/>
  <c r="J64" i="10"/>
  <c r="H14" i="10"/>
  <c r="J14" i="10"/>
  <c r="I14" i="10"/>
  <c r="J30" i="10"/>
  <c r="H30" i="10"/>
  <c r="I30" i="10"/>
  <c r="H46" i="10"/>
  <c r="J46" i="10"/>
  <c r="I46" i="10"/>
  <c r="J62" i="10"/>
  <c r="H62" i="10"/>
  <c r="I62" i="10"/>
  <c r="I11" i="10"/>
  <c r="J11" i="10"/>
  <c r="H11" i="10"/>
  <c r="J19" i="10"/>
  <c r="I19" i="10"/>
  <c r="H19" i="10"/>
  <c r="J35" i="10"/>
  <c r="H35" i="10"/>
  <c r="I35" i="10"/>
  <c r="I43" i="10"/>
  <c r="J43" i="10"/>
  <c r="H43" i="10"/>
  <c r="I67" i="10"/>
  <c r="J67" i="10"/>
  <c r="H67" i="10"/>
  <c r="H40" i="10"/>
  <c r="I40" i="10"/>
  <c r="J40" i="10"/>
  <c r="I6" i="10"/>
  <c r="H6" i="10"/>
  <c r="J6" i="10"/>
  <c r="I38" i="10"/>
  <c r="H38" i="10"/>
  <c r="J38" i="10"/>
  <c r="I13" i="10"/>
  <c r="H13" i="10"/>
  <c r="J13" i="10"/>
  <c r="I45" i="10"/>
  <c r="H45" i="10"/>
  <c r="J45" i="10"/>
  <c r="J7" i="10"/>
  <c r="I7" i="10"/>
  <c r="H7" i="10"/>
  <c r="H15" i="10"/>
  <c r="J15" i="10"/>
  <c r="I15" i="10"/>
  <c r="J9" i="10"/>
  <c r="H9" i="10"/>
  <c r="I9" i="10"/>
  <c r="I17" i="10"/>
  <c r="H17" i="10"/>
  <c r="J17" i="10"/>
  <c r="H25" i="10"/>
  <c r="I25" i="10"/>
  <c r="J25" i="10"/>
  <c r="I33" i="10"/>
  <c r="H33" i="10"/>
  <c r="J33" i="10"/>
  <c r="I41" i="10"/>
  <c r="J41" i="10"/>
  <c r="H41" i="10"/>
  <c r="H49" i="10"/>
  <c r="J49" i="10"/>
  <c r="I49" i="10"/>
  <c r="H57" i="10"/>
  <c r="I57" i="10"/>
  <c r="J57" i="10"/>
  <c r="H65" i="10"/>
  <c r="J65" i="10"/>
  <c r="I65" i="10"/>
  <c r="H4" i="10"/>
  <c r="I4" i="10"/>
  <c r="J4" i="10"/>
  <c r="H20" i="10"/>
  <c r="I20" i="10"/>
  <c r="J20" i="10"/>
  <c r="H36" i="10"/>
  <c r="I36" i="10"/>
  <c r="J36" i="10"/>
  <c r="H52" i="10"/>
  <c r="I52" i="10"/>
  <c r="J52" i="10"/>
  <c r="I18" i="10"/>
  <c r="H18" i="10"/>
  <c r="J18" i="10"/>
  <c r="I34" i="10"/>
  <c r="H34" i="10"/>
  <c r="J34" i="10"/>
  <c r="I50" i="10"/>
  <c r="H50" i="10"/>
  <c r="J50" i="10"/>
  <c r="I66" i="10"/>
  <c r="H66" i="10"/>
  <c r="J66" i="10"/>
  <c r="G2" i="6"/>
  <c r="G13" i="6" a="1"/>
  <c r="G12" i="6" a="1"/>
  <c r="G11" i="6" a="1"/>
  <c r="G10" i="6" a="1"/>
  <c r="G9" i="6" a="1"/>
  <c r="G8" i="6" a="1"/>
  <c r="G7" i="6" a="1"/>
  <c r="G6" i="6" a="1"/>
  <c r="G5" i="6" a="1"/>
  <c r="G4" i="6" a="1"/>
  <c r="G3" i="6" a="1"/>
  <c r="B15" i="3" a="1"/>
  <c r="B8" i="3" a="1"/>
  <c r="B16" i="3" a="1"/>
  <c r="B13" i="3" a="1"/>
  <c r="B11" i="3" a="1"/>
  <c r="B6" i="3" a="1"/>
  <c r="B3" i="3" a="1"/>
  <c r="B4" i="3" a="1"/>
  <c r="B21" i="3" a="1"/>
  <c r="B10" i="3" a="1"/>
  <c r="B18" i="3" a="1"/>
  <c r="B19" i="3" a="1"/>
  <c r="B17" i="3" a="1"/>
  <c r="B9" i="3" a="1"/>
  <c r="B5" i="3" a="1"/>
  <c r="B20" i="3" a="1"/>
  <c r="B2" i="3" a="1"/>
  <c r="B12" i="3" a="1"/>
  <c r="B22" i="3" a="1"/>
  <c r="B7" i="3" a="1"/>
  <c r="B14" i="3" a="1"/>
  <c r="I2" i="6" l="1"/>
  <c r="H2" i="6"/>
  <c r="G13" i="6"/>
  <c r="G12" i="6"/>
  <c r="G11" i="6"/>
  <c r="G10" i="6"/>
  <c r="G9" i="6"/>
  <c r="G8" i="6"/>
  <c r="G7" i="6"/>
  <c r="G6" i="6"/>
  <c r="G5" i="6"/>
  <c r="G4" i="6"/>
  <c r="G3" i="6"/>
  <c r="H13" i="6"/>
  <c r="B17" i="3"/>
  <c r="B11" i="3"/>
  <c r="B3" i="3"/>
  <c r="B7" i="3"/>
  <c r="B19" i="3"/>
  <c r="B13" i="3"/>
  <c r="B5" i="3"/>
  <c r="B22" i="3"/>
  <c r="B18" i="3"/>
  <c r="B16" i="3"/>
  <c r="B14" i="3"/>
  <c r="B12" i="3"/>
  <c r="B10" i="3"/>
  <c r="B8" i="3"/>
  <c r="B6" i="3"/>
  <c r="B2" i="3"/>
  <c r="B21" i="3"/>
  <c r="B15" i="3"/>
  <c r="B9" i="3"/>
  <c r="B20" i="3"/>
  <c r="B4" i="3"/>
  <c r="G2" i="10" a="1"/>
  <c r="I8" i="6" l="1"/>
  <c r="H8" i="6"/>
  <c r="I10" i="6"/>
  <c r="H10" i="6"/>
  <c r="I11" i="6"/>
  <c r="H11" i="6"/>
  <c r="I12" i="6"/>
  <c r="H12" i="6"/>
  <c r="I5" i="6"/>
  <c r="H5" i="6"/>
  <c r="I9" i="6"/>
  <c r="H9" i="6"/>
  <c r="I3" i="6"/>
  <c r="H3" i="6"/>
  <c r="I6" i="6"/>
  <c r="H6" i="6"/>
  <c r="I7" i="6"/>
  <c r="H7" i="6"/>
  <c r="I4" i="6"/>
  <c r="H4" i="6"/>
  <c r="I13" i="6"/>
  <c r="G2" i="10"/>
  <c r="J2" i="10" s="1"/>
  <c r="I2" i="10" l="1"/>
  <c r="H2" i="10"/>
  <c r="B119" i="8" l="1"/>
  <c r="B120" i="8"/>
  <c r="B121" i="8"/>
  <c r="B122" i="8"/>
  <c r="B123" i="8"/>
  <c r="B32" i="8"/>
  <c r="B10" i="8"/>
  <c r="B17" i="8"/>
  <c r="B78" i="8"/>
  <c r="B97" i="8"/>
  <c r="B58" i="8"/>
  <c r="B96" i="8"/>
  <c r="B36" i="8"/>
  <c r="B26" i="8"/>
  <c r="B86" i="8"/>
  <c r="B24" i="8"/>
  <c r="B88" i="8"/>
  <c r="B60" i="8"/>
  <c r="B31" i="8"/>
  <c r="B28" i="8"/>
  <c r="B42" i="8"/>
  <c r="B102" i="8"/>
  <c r="B87" i="8"/>
  <c r="B57" i="8"/>
  <c r="B20" i="8"/>
  <c r="B35" i="8"/>
  <c r="B94" i="8"/>
  <c r="B54" i="8"/>
  <c r="B101" i="8"/>
  <c r="B63" i="8"/>
  <c r="B85" i="8"/>
  <c r="B45" i="8"/>
  <c r="B53" i="8"/>
  <c r="B67" i="8"/>
  <c r="B90" i="8"/>
  <c r="B64" i="8"/>
  <c r="B100" i="8"/>
  <c r="B75" i="8"/>
  <c r="B71" i="8"/>
  <c r="B91" i="8"/>
  <c r="B8" i="8"/>
  <c r="B2" i="8"/>
  <c r="B61" i="8"/>
  <c r="B99" i="8"/>
  <c r="B98" i="8"/>
  <c r="B79" i="8"/>
  <c r="B62" i="8"/>
  <c r="B72" i="8"/>
  <c r="B92" i="8"/>
  <c r="B66" i="8"/>
  <c r="B48" i="8"/>
  <c r="B47" i="8"/>
  <c r="B51" i="8"/>
  <c r="B56" i="8"/>
  <c r="B40" i="8"/>
  <c r="B59" i="8"/>
  <c r="B55" i="8"/>
  <c r="B16" i="8"/>
  <c r="B50" i="8"/>
  <c r="B52" i="8"/>
  <c r="B12" i="8"/>
  <c r="B49" i="8"/>
  <c r="B65" i="8"/>
  <c r="B6" i="8"/>
  <c r="B15" i="8"/>
  <c r="B22" i="8"/>
  <c r="B29" i="8"/>
  <c r="B41" i="8"/>
  <c r="B43" i="8"/>
  <c r="B76" i="8"/>
  <c r="B73" i="8"/>
  <c r="B81" i="8"/>
  <c r="B74" i="8"/>
  <c r="B93" i="8"/>
  <c r="B68" i="8"/>
  <c r="B84" i="8"/>
  <c r="B83" i="8"/>
  <c r="B69" i="8"/>
  <c r="B89" i="8"/>
  <c r="B82" i="8"/>
  <c r="B115" i="8"/>
  <c r="B103" i="8"/>
  <c r="B70" i="8"/>
  <c r="B25" i="8"/>
  <c r="B38" i="8"/>
  <c r="B95" i="8"/>
  <c r="B34" i="8"/>
  <c r="B44" i="8"/>
  <c r="B77" i="8"/>
  <c r="B14" i="8"/>
  <c r="B11" i="8"/>
  <c r="B19" i="8"/>
  <c r="B46" i="8"/>
  <c r="B80" i="8"/>
  <c r="B107" i="8"/>
  <c r="B108" i="8"/>
  <c r="B21" i="8"/>
  <c r="B27" i="8"/>
  <c r="B18" i="8"/>
  <c r="B105" i="8"/>
  <c r="B23" i="8"/>
  <c r="B104" i="8"/>
  <c r="B109" i="8"/>
  <c r="B110" i="8"/>
  <c r="B39" i="8"/>
  <c r="B9" i="8"/>
  <c r="B111" i="8"/>
  <c r="B33" i="8"/>
  <c r="B13" i="8"/>
  <c r="B3" i="8"/>
  <c r="B7" i="8"/>
  <c r="B5" i="8"/>
  <c r="B106" i="8"/>
  <c r="B112" i="8"/>
  <c r="B4" i="8"/>
  <c r="B118" i="8"/>
  <c r="B30" i="8"/>
  <c r="B116" i="8"/>
  <c r="B37" i="8"/>
  <c r="G7" i="3" a="1"/>
  <c r="M20" i="3" a="1"/>
  <c r="J10" i="3" a="1"/>
  <c r="M7" i="3" a="1"/>
  <c r="J14" i="3" a="1"/>
  <c r="M17" i="3" a="1"/>
  <c r="G12" i="3" a="1"/>
  <c r="M8" i="3" a="1"/>
  <c r="G14" i="3" a="1"/>
  <c r="J2" i="3" a="1"/>
  <c r="G23" i="3" a="1"/>
  <c r="M2" i="3" a="1"/>
  <c r="M12" i="3" a="1"/>
  <c r="M14" i="3" a="1"/>
  <c r="M5" i="3" a="1"/>
  <c r="G13" i="3" a="1"/>
  <c r="M6" i="3" a="1"/>
  <c r="G18" i="3" a="1"/>
  <c r="G10" i="3" a="1"/>
  <c r="M3" i="3" a="1"/>
  <c r="G9" i="3" a="1"/>
  <c r="M19" i="3" a="1"/>
  <c r="M9" i="3" a="1"/>
  <c r="M23" i="3" a="1"/>
  <c r="M22" i="3" a="1"/>
  <c r="G6" i="3" a="1"/>
  <c r="M18" i="3" a="1"/>
  <c r="G8" i="3" a="1"/>
  <c r="G4" i="3" a="1"/>
  <c r="G15" i="3" a="1"/>
  <c r="G19" i="3" a="1"/>
  <c r="M10" i="3" a="1"/>
  <c r="M15" i="3" a="1"/>
  <c r="G21" i="3" a="1"/>
  <c r="M11" i="3" a="1"/>
  <c r="J7" i="3" a="1"/>
  <c r="G2" i="3" a="1"/>
  <c r="G5" i="3" a="1"/>
  <c r="M13" i="3" a="1"/>
  <c r="J12" i="3" a="1"/>
  <c r="M4" i="3" a="1"/>
  <c r="M16" i="3" a="1"/>
  <c r="J19" i="3" a="1"/>
  <c r="G16" i="3" a="1"/>
  <c r="G3" i="3" a="1"/>
  <c r="G17" i="3" a="1"/>
  <c r="J9" i="3" a="1"/>
  <c r="M2" i="3" l="1"/>
  <c r="G14" i="3"/>
  <c r="M14" i="3"/>
  <c r="G13" i="3"/>
  <c r="M17" i="3"/>
  <c r="J7" i="3"/>
  <c r="M10" i="3"/>
  <c r="M22" i="3"/>
  <c r="G9" i="3"/>
  <c r="G4" i="3"/>
  <c r="G10" i="3"/>
  <c r="G3" i="3"/>
  <c r="G6" i="3"/>
  <c r="G15" i="3"/>
  <c r="G2" i="3"/>
  <c r="M23" i="3"/>
  <c r="J19" i="3"/>
  <c r="M16" i="3"/>
  <c r="M20" i="3"/>
  <c r="G7" i="3"/>
  <c r="M11" i="3"/>
  <c r="G23" i="3"/>
  <c r="M19" i="3"/>
  <c r="M8" i="3"/>
  <c r="J2" i="3"/>
  <c r="G17" i="3"/>
  <c r="M3" i="3"/>
  <c r="G5" i="3"/>
  <c r="J14" i="3"/>
  <c r="G12" i="3"/>
  <c r="G8" i="3"/>
  <c r="M6" i="3"/>
  <c r="M5" i="3"/>
  <c r="M18" i="3"/>
  <c r="M13" i="3"/>
  <c r="J12" i="3"/>
  <c r="M7" i="3"/>
  <c r="G21" i="3"/>
  <c r="J9" i="3"/>
  <c r="M15" i="3"/>
  <c r="G19" i="3"/>
  <c r="G16" i="3"/>
  <c r="G18" i="3"/>
  <c r="M12" i="3"/>
  <c r="M9" i="3"/>
  <c r="J10" i="3"/>
  <c r="M4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<sst xmlns="http://schemas.openxmlformats.org/spreadsheetml/2006/main" count="2736" uniqueCount="594">
  <si>
    <t>Daily Wages</t>
  </si>
  <si>
    <t>Indirect Operation Cash out</t>
  </si>
  <si>
    <t>Concrete</t>
  </si>
  <si>
    <t>Operation Cash Out</t>
  </si>
  <si>
    <t>Fleet</t>
  </si>
  <si>
    <t>Subcontractors Daily Wages</t>
  </si>
  <si>
    <t>Petty Cash</t>
  </si>
  <si>
    <t>(Taxes +Insurance+OH+Profit) 12%</t>
  </si>
  <si>
    <t>Finance Overheads</t>
  </si>
  <si>
    <t>Guard</t>
  </si>
  <si>
    <t>Supply &amp; Apply</t>
  </si>
  <si>
    <t>Salaries</t>
  </si>
  <si>
    <t>Mobile</t>
  </si>
  <si>
    <t>Purchasing (Current Accounts)</t>
  </si>
  <si>
    <t>Overheads</t>
  </si>
  <si>
    <t>Head office Overheads</t>
  </si>
  <si>
    <t>Accommodation</t>
  </si>
  <si>
    <t>Consultancy</t>
  </si>
  <si>
    <t>Equipment</t>
  </si>
  <si>
    <t>Pos &amp; Delivery Payments</t>
  </si>
  <si>
    <t>Procurment (AP )</t>
  </si>
  <si>
    <t>Steel</t>
  </si>
  <si>
    <t>Heavy Equipment</t>
  </si>
  <si>
    <t>Wood</t>
  </si>
  <si>
    <t>Apply Only</t>
  </si>
  <si>
    <t>Scaffolding</t>
  </si>
  <si>
    <t>Supply Only</t>
  </si>
  <si>
    <t>Earthwork</t>
  </si>
  <si>
    <t>General</t>
  </si>
  <si>
    <t>Our</t>
  </si>
  <si>
    <t>Grand Total</t>
  </si>
  <si>
    <t>Input Here</t>
  </si>
  <si>
    <t>Categorization</t>
  </si>
  <si>
    <t>Project Oricale</t>
  </si>
  <si>
    <t>Cost Center</t>
  </si>
  <si>
    <t>Serial</t>
  </si>
  <si>
    <t>Project Name Control</t>
  </si>
  <si>
    <t>Sector Name</t>
  </si>
  <si>
    <t>Project MANAGER</t>
  </si>
  <si>
    <t>ESPIKO Bridge L&amp;L  0116</t>
  </si>
  <si>
    <t>-</t>
  </si>
  <si>
    <t>ESPIKO Bridge L&amp;L</t>
  </si>
  <si>
    <t/>
  </si>
  <si>
    <t>Adham Edward</t>
  </si>
  <si>
    <t>El Moshier ( Abu Zaid Khedr)  0105</t>
  </si>
  <si>
    <t xml:space="preserve">El Moshier ( Abu Zaid Khedr)  </t>
  </si>
  <si>
    <t>kayan wall lock &amp; Load  0068</t>
  </si>
  <si>
    <t>Kyan lock&amp; load</t>
  </si>
  <si>
    <t>AL-JAZI EGYPT  0081</t>
  </si>
  <si>
    <t>Al Jazi Mall</t>
  </si>
  <si>
    <t>Other</t>
  </si>
  <si>
    <t>Asmarat Roads L&amp;L  0162</t>
  </si>
  <si>
    <t>Asmarat Roads L&amp;L</t>
  </si>
  <si>
    <t>Astoria Sharm elSheikh  0182</t>
  </si>
  <si>
    <t>Astoria Sharm elSheikh</t>
  </si>
  <si>
    <t>BKG#178-Lagoon Discharge  0142</t>
  </si>
  <si>
    <t>Marassi PKG #178</t>
  </si>
  <si>
    <t>Mohamed Fawzy</t>
  </si>
  <si>
    <t>Beymen Fit Out  0181</t>
  </si>
  <si>
    <t>Beymen Fit Out</t>
  </si>
  <si>
    <t>CFC Podium 2  0113</t>
  </si>
  <si>
    <t>CFC Poduim 2</t>
  </si>
  <si>
    <t>CIP SODIC HEAD OFFICE  CIP SODIC HEAD OFFICE</t>
  </si>
  <si>
    <t>ICE</t>
  </si>
  <si>
    <t>CIP SODIC HEAD OFFICE</t>
  </si>
  <si>
    <t>DPW Onshore Port &amp; Terminal  0094</t>
  </si>
  <si>
    <t>DP World Sokhna</t>
  </si>
  <si>
    <t>Mohamed El Saman</t>
  </si>
  <si>
    <t>EDNC Hardscape Package  0171</t>
  </si>
  <si>
    <t xml:space="preserve">EDNC Landscape </t>
  </si>
  <si>
    <t>EDNC Retail &amp; Offices Civil  0092</t>
  </si>
  <si>
    <t>Sodic East - EDNC</t>
  </si>
  <si>
    <t>EGAT Lock &amp; Load  0173</t>
  </si>
  <si>
    <t>EgAt Load &amp; Load</t>
  </si>
  <si>
    <t>EGAT Pelletizing Plant  0144</t>
  </si>
  <si>
    <t>Rolling Mill Eleco Steel Egat Ph02</t>
  </si>
  <si>
    <t>ELCO STEEL-EGAT  0102</t>
  </si>
  <si>
    <t>ELCO STEEL-EGAT</t>
  </si>
  <si>
    <t>EMAAR- Pkg 140-ITP-Mivida  0098</t>
  </si>
  <si>
    <t>Mivida PKG #140</t>
  </si>
  <si>
    <t>EMAAR-Pkg#162/163- Marassi  0123</t>
  </si>
  <si>
    <t>Marassi PKG #162,#163 &amp;#177 (Marina)</t>
  </si>
  <si>
    <t>EPICO 3 Facility  0187</t>
  </si>
  <si>
    <t>EPICO 3 Facility</t>
  </si>
  <si>
    <t>EPICO</t>
  </si>
  <si>
    <t>Egat Rolling Mill no.4  0172</t>
  </si>
  <si>
    <t>Rolling Mill#4</t>
  </si>
  <si>
    <t>ElSewedy HQ Internal Finishing  0141</t>
  </si>
  <si>
    <t>ElSewedy HQ Internal Finishing</t>
  </si>
  <si>
    <t>Elsewedy Univ - Enabling Works  0085</t>
  </si>
  <si>
    <t>Elswedy University Phase1</t>
  </si>
  <si>
    <t>IKEA Extension MoA  0112</t>
  </si>
  <si>
    <t>IKEA Retail</t>
  </si>
  <si>
    <t>Jawhar Al-Lala Mosque  0179</t>
  </si>
  <si>
    <t>Jawhar al-lala Mosque</t>
  </si>
  <si>
    <t>Mariam youssef</t>
  </si>
  <si>
    <t>Kattameya Creeks  0138</t>
  </si>
  <si>
    <t>Creek</t>
  </si>
  <si>
    <t>Osama Mezayn</t>
  </si>
  <si>
    <t>L&amp;L El-Awsaty Tunnel  0186</t>
  </si>
  <si>
    <t>L&amp;L El-Awsaty Tunnel</t>
  </si>
  <si>
    <t>MDF Factory  0147</t>
  </si>
  <si>
    <t>MDF</t>
  </si>
  <si>
    <t>Mivida BP#189  0170</t>
  </si>
  <si>
    <t>Mivida BP#189</t>
  </si>
  <si>
    <t>Mivida</t>
  </si>
  <si>
    <t>New Giza Teaching Hospital  0126</t>
  </si>
  <si>
    <t>New Giza Hospital</t>
  </si>
  <si>
    <t>NGUH</t>
  </si>
  <si>
    <t>ORA ZED - Ph 01B - Pkgs A&amp;D  0137</t>
  </si>
  <si>
    <t>ORA Zed PKGs A &amp; D</t>
  </si>
  <si>
    <t>ORA PH1</t>
  </si>
  <si>
    <t>ORA ZED-Ph 2-Pkgs A&amp;D  0151</t>
  </si>
  <si>
    <t>ORA ZED-Ph 2-Pkgs A&amp;D</t>
  </si>
  <si>
    <t>ORA PH2</t>
  </si>
  <si>
    <t>October Under-Railway Tunnel  0175</t>
  </si>
  <si>
    <t>October Under-Railway Tunnel</t>
  </si>
  <si>
    <t>6th October Under-Railway Tunnel</t>
  </si>
  <si>
    <t>Mohamed Abdelfath</t>
  </si>
  <si>
    <t>Olympic City Lock&amp;Load  0148</t>
  </si>
  <si>
    <t>Olympic City Lock&amp;Load</t>
  </si>
  <si>
    <t>Ora Zed Landscape Ph1  0185</t>
  </si>
  <si>
    <t>Ora Zed Landscape Ph1</t>
  </si>
  <si>
    <t>Landscape</t>
  </si>
  <si>
    <t>Port Said Port Silos  0159</t>
  </si>
  <si>
    <t>Port Said Port Silos</t>
  </si>
  <si>
    <t>Silos</t>
  </si>
  <si>
    <t>R06 Loack &amp; Load  0155</t>
  </si>
  <si>
    <t>R06 Loack &amp; Load</t>
  </si>
  <si>
    <t>Radamis City  0176</t>
  </si>
  <si>
    <t>Radamis City</t>
  </si>
  <si>
    <t xml:space="preserve"> Radamis City</t>
  </si>
  <si>
    <t>Royal City  0063</t>
  </si>
  <si>
    <t>Royal City Mall</t>
  </si>
  <si>
    <t>Sodic Club House  0032</t>
  </si>
  <si>
    <t>Sodic Club House</t>
  </si>
  <si>
    <t>Sokhna Port Expansion  0145</t>
  </si>
  <si>
    <t xml:space="preserve">Port of Sokhna </t>
  </si>
  <si>
    <t>SPX</t>
  </si>
  <si>
    <t>Suez Steel Intake &amp; P Stations</t>
  </si>
  <si>
    <t>Wadi Halfa Port  0183</t>
  </si>
  <si>
    <t>Wadi Halfa Port</t>
  </si>
  <si>
    <t>Waldorf Astoria Cairo  0164</t>
  </si>
  <si>
    <t>Waldorf Astoria Cairo</t>
  </si>
  <si>
    <t>Waldorf Astoria Mock-up Room  0146</t>
  </si>
  <si>
    <t>Waldorf Astoria Mock-up Room</t>
  </si>
  <si>
    <t>Waslet Om Amar Bridge  0156</t>
  </si>
  <si>
    <t>Waslet Om Amar Bridge</t>
  </si>
  <si>
    <t>SODIC Allegria Villa f100  0177</t>
  </si>
  <si>
    <t>SODIC Allegria Villa f100</t>
  </si>
  <si>
    <t>Air Defense College  0150</t>
  </si>
  <si>
    <t>Air Defense College</t>
  </si>
  <si>
    <t>Air Defence</t>
  </si>
  <si>
    <t>Adel Rahmo</t>
  </si>
  <si>
    <t>Asher Mn Ramadan Bridge No2  0129</t>
  </si>
  <si>
    <t>10th Ramadan Bridge</t>
  </si>
  <si>
    <t>Hussin Bahgat</t>
  </si>
  <si>
    <t>BridgeNasr Rd w Abbas El-Akkad  0128</t>
  </si>
  <si>
    <t>Abass Akad</t>
  </si>
  <si>
    <t>Cairo-Alex Railway  0134</t>
  </si>
  <si>
    <t>Re-newal Cairo -Alex Rail way</t>
  </si>
  <si>
    <t>Aly Tawfik</t>
  </si>
  <si>
    <t>Diplomatic District - Infra  0140</t>
  </si>
  <si>
    <t>Diplomatic</t>
  </si>
  <si>
    <t>Diplomatic District</t>
  </si>
  <si>
    <t>EL-Hegaz Square Bridge  0121</t>
  </si>
  <si>
    <t>El-Hegaz Square</t>
  </si>
  <si>
    <t>El- Hegaz Bridge</t>
  </si>
  <si>
    <t>El Khatatba Bridge  0143</t>
  </si>
  <si>
    <t>Al khattatba Bridge</t>
  </si>
  <si>
    <t>El- Khatatba Bridge</t>
  </si>
  <si>
    <t>Faculty of Medicine  0139</t>
  </si>
  <si>
    <t>Faculty of Medicine - Mansoura University</t>
  </si>
  <si>
    <t>NMU</t>
  </si>
  <si>
    <t>Fish Market  0080</t>
  </si>
  <si>
    <t>Fish Market</t>
  </si>
  <si>
    <t>GOV2 - Infra  0133</t>
  </si>
  <si>
    <t>GOV2-Infra</t>
  </si>
  <si>
    <t>Gov 2 - Infra</t>
  </si>
  <si>
    <t>Hassan El Mamoun Bridge  0135</t>
  </si>
  <si>
    <t>Hassan El Mamoun Bridge</t>
  </si>
  <si>
    <t>Hyper El-Temsah  0070</t>
  </si>
  <si>
    <t>hyper el-temsah</t>
  </si>
  <si>
    <t>Kafr Shokr Bridge  0130</t>
  </si>
  <si>
    <t>Kafer Shoukr Bridge</t>
  </si>
  <si>
    <t>Kafr Shokr Bridge</t>
  </si>
  <si>
    <t>Kemet Building  0149</t>
  </si>
  <si>
    <t>KEMET</t>
  </si>
  <si>
    <t>Mohamed El Ashry</t>
  </si>
  <si>
    <t>Ministries Buildings  0060</t>
  </si>
  <si>
    <t xml:space="preserve">Ministry Building </t>
  </si>
  <si>
    <t>Ministries</t>
  </si>
  <si>
    <t>Mohamed Ali Palace Restoration  0078</t>
  </si>
  <si>
    <t>Mohamed Ali Palace</t>
  </si>
  <si>
    <t>NUCA R05 - Z02  0088</t>
  </si>
  <si>
    <t>R05 District</t>
  </si>
  <si>
    <t>R05</t>
  </si>
  <si>
    <t>Olympic Multi – Sports Hall  0099</t>
  </si>
  <si>
    <t>Olympic Multi-Sports Hall</t>
  </si>
  <si>
    <t>Main Sport Hall</t>
  </si>
  <si>
    <t>RING ROAD MARYOTIA EXPANSION  0122</t>
  </si>
  <si>
    <t>Ring Road Bridge</t>
  </si>
  <si>
    <t>Ring Road (El- Maryotia)</t>
  </si>
  <si>
    <t>Sultana Malak Restoration  0124</t>
  </si>
  <si>
    <t>Sultana Malak</t>
  </si>
  <si>
    <t>The Open Channel Project  0160</t>
  </si>
  <si>
    <t>The Open Channel Project</t>
  </si>
  <si>
    <t>Open Channel</t>
  </si>
  <si>
    <t>Abou Ghaleb Bridge  0157</t>
  </si>
  <si>
    <t>Abou Ghaleb Bridge</t>
  </si>
  <si>
    <t>Abo Ghaleb Bridge</t>
  </si>
  <si>
    <t>Alamein Coastal Road Bridge  0166</t>
  </si>
  <si>
    <t>Alamein Coastal Road Bridge</t>
  </si>
  <si>
    <t>El- Alamein Costal Road Bridge</t>
  </si>
  <si>
    <t>Egyptian Exchange Building  0158</t>
  </si>
  <si>
    <t>Egyptian Exchange Building</t>
  </si>
  <si>
    <t>Exchange Building</t>
  </si>
  <si>
    <t>El- Hussein Mosque  0178</t>
  </si>
  <si>
    <t>El-Hussein Mosque</t>
  </si>
  <si>
    <t>HST Bridges-Sokhna &amp; Mahager  0152</t>
  </si>
  <si>
    <t>Sokhna Bridges</t>
  </si>
  <si>
    <t>HST /El- Sokhna Bridge</t>
  </si>
  <si>
    <t>HST Culverts  0169</t>
  </si>
  <si>
    <t>Sokhna Culverts</t>
  </si>
  <si>
    <t>HST Culverts</t>
  </si>
  <si>
    <t>HST El Mahager Bridge  0168</t>
  </si>
  <si>
    <t>HST El Mahager Bridge</t>
  </si>
  <si>
    <t>HST /El- Mahager</t>
  </si>
  <si>
    <t>October Dry Port Railway  0153</t>
  </si>
  <si>
    <t>October Dry Port</t>
  </si>
  <si>
    <t>Qani bay Al rammah Mosque  0174</t>
  </si>
  <si>
    <t>Qani bay Al rammah Mosque</t>
  </si>
  <si>
    <t>Wady El Natroon Bridge  0167</t>
  </si>
  <si>
    <t>Wady El Natroon Bridge</t>
  </si>
  <si>
    <t>HST /Wadi El- Natron - Diplomatic</t>
  </si>
  <si>
    <t>Egypt Mosque  8013</t>
  </si>
  <si>
    <t>Egypt Mosque</t>
  </si>
  <si>
    <t>Ring Road - El Qawmiya  0188</t>
  </si>
  <si>
    <t>Ring Road - El Qawmiya</t>
  </si>
  <si>
    <t>Ring road Kawmia</t>
  </si>
  <si>
    <t>Alfa New Central Labs  0154</t>
  </si>
  <si>
    <t>Alfa New Central Labs</t>
  </si>
  <si>
    <t>EMAAR-PKG# 144, Marassi  0093</t>
  </si>
  <si>
    <t>PKG#144,  Marassi</t>
  </si>
  <si>
    <t>ESU Ph2-Enabling &amp; Struc  0119</t>
  </si>
  <si>
    <t>Elswedy University Phase2</t>
  </si>
  <si>
    <t>Endowments Building  0180</t>
  </si>
  <si>
    <t>Endowments Building</t>
  </si>
  <si>
    <t>HyperOne Zayed Extension  0111</t>
  </si>
  <si>
    <t>Hyper One Parking</t>
  </si>
  <si>
    <t>Lekela 250MW Wind Farm  0125</t>
  </si>
  <si>
    <t>LEKELA Wind Farm</t>
  </si>
  <si>
    <t>Ras El Teen Hangar  0161</t>
  </si>
  <si>
    <t>Ras El Teen Hangar</t>
  </si>
  <si>
    <t>Siemens Power Station  0072</t>
  </si>
  <si>
    <t>Siemens Power Station</t>
  </si>
  <si>
    <t>Suez Steel Factory  0069</t>
  </si>
  <si>
    <t>Rolling Mill +EGAT</t>
  </si>
  <si>
    <t>Alamein  0084</t>
  </si>
  <si>
    <t>Alamain</t>
  </si>
  <si>
    <t>Kayan Landscape  0127</t>
  </si>
  <si>
    <t>Kayan Lanscape</t>
  </si>
  <si>
    <t>King Mariout  Bridge'  0165</t>
  </si>
  <si>
    <t>King Mariout  Bridge’</t>
  </si>
  <si>
    <t>DP World Basin 2 Ph2  0193</t>
  </si>
  <si>
    <t>DP World Basin 2 Ph2</t>
  </si>
  <si>
    <t>DP World</t>
  </si>
  <si>
    <t>Seashell Playa 5 Villas  0194</t>
  </si>
  <si>
    <t>Seashell Playa 5 Villas</t>
  </si>
  <si>
    <t>JV</t>
  </si>
  <si>
    <t>Lock&amp;Load-30June w Sokhna Rd  0086</t>
  </si>
  <si>
    <t>Lock&amp;Load-30June w Sokhna Rd</t>
  </si>
  <si>
    <t>EMAAR-PKG# 101-UPTOWN  0095</t>
  </si>
  <si>
    <t>PKG#101</t>
  </si>
  <si>
    <t>TSK Solar Benban  0083</t>
  </si>
  <si>
    <t xml:space="preserve">TSK Solar Benban  </t>
  </si>
  <si>
    <t>Darb Allabana Bldgs Ph1  0191</t>
  </si>
  <si>
    <t>Darb Allabana Bldgs Ph1</t>
  </si>
  <si>
    <t>Tunnel of Sokhna Road (2)  0090</t>
  </si>
  <si>
    <t>Tunnel of Sokhna Road (2)</t>
  </si>
  <si>
    <t>Ring Road - Service Road  0189</t>
  </si>
  <si>
    <t>Ring Road - Service Road</t>
  </si>
  <si>
    <t>Ring Road (Service Road)</t>
  </si>
  <si>
    <t>Abo Shanab El Agamien  0195</t>
  </si>
  <si>
    <t>Abo Shanab El Agamien</t>
  </si>
  <si>
    <t>MAF HQ Renovation  0196</t>
  </si>
  <si>
    <t>Carrefour Head office Renovation</t>
  </si>
  <si>
    <t>Mehwar elsalam Lock &amp; Load  0120</t>
  </si>
  <si>
    <t>Mehwer el Salam  L&amp;L</t>
  </si>
  <si>
    <t>El Sewedy Stores Project  0065</t>
  </si>
  <si>
    <t>PI Park (SLP)</t>
  </si>
  <si>
    <t>Tarek AbdelHakim Center  0197</t>
  </si>
  <si>
    <t>Tarek AbdelHakim Center</t>
  </si>
  <si>
    <t>DoubleTree Mangroovy ElGouna  0107</t>
  </si>
  <si>
    <t>Duoble Tree Hilton</t>
  </si>
  <si>
    <t>EMAAR-PKG117- MARASSI  0071</t>
  </si>
  <si>
    <t>Pkg 117</t>
  </si>
  <si>
    <t>Al Mostathmreen GIS Substation  0040</t>
  </si>
  <si>
    <t xml:space="preserve">Al Mostathmreen GIS Substation  </t>
  </si>
  <si>
    <t>Beni Suef Substation R61  0061</t>
  </si>
  <si>
    <t>French Fund Substations (Bani-swif)</t>
  </si>
  <si>
    <t>Ismailiya East Substation  0052</t>
  </si>
  <si>
    <t xml:space="preserve">Ismalia Substation  </t>
  </si>
  <si>
    <t>Creeks URBN-K  0192</t>
  </si>
  <si>
    <t>Creeks URBN-K</t>
  </si>
  <si>
    <t>Urban K</t>
  </si>
  <si>
    <t>EGAT Mechanical Installations  0198</t>
  </si>
  <si>
    <t>EGAT Mechanical Installations</t>
  </si>
  <si>
    <t>Tamey El-amdeed Substation  0051</t>
  </si>
  <si>
    <t xml:space="preserve">Tamay Elamdeed Substation </t>
  </si>
  <si>
    <t>New Giza 2  NGZA/UNVI/1369</t>
  </si>
  <si>
    <t>New Giza II</t>
  </si>
  <si>
    <t>Bani Suef Old Substation  Bani Suef</t>
  </si>
  <si>
    <t>uef</t>
  </si>
  <si>
    <t>French Fund Substations (Bani-Swif)</t>
  </si>
  <si>
    <t>Kayan 3 New Cairo Capital City  ARMY/KYAN/1446</t>
  </si>
  <si>
    <t>Pyramid tunnel  0101</t>
  </si>
  <si>
    <t xml:space="preserve">Pyramid Tunnel </t>
  </si>
  <si>
    <t>Mohamed Abd Moktader</t>
  </si>
  <si>
    <t>Other Bridges</t>
  </si>
  <si>
    <t>Hotels</t>
  </si>
  <si>
    <t>MDF Factory</t>
  </si>
  <si>
    <t>Ministries Complex</t>
  </si>
  <si>
    <t>Mivida Pkg 189 Admin Offices Park</t>
  </si>
  <si>
    <t>Faculty of Medicine</t>
  </si>
  <si>
    <t>EGAT L &amp; L</t>
  </si>
  <si>
    <t>EGAT Pelletizing Plant</t>
  </si>
  <si>
    <t>Pkg162 ,163,177Marina Inland Marassi</t>
  </si>
  <si>
    <t>ORA ZED - Ph 01B - Pkgs A&amp;D</t>
  </si>
  <si>
    <t>Sokhna Port Expansion</t>
  </si>
  <si>
    <t>Cairo-Alex Railway</t>
  </si>
  <si>
    <t xml:space="preserve">R05 </t>
  </si>
  <si>
    <t>Olympic Multi – Sports Hall</t>
  </si>
  <si>
    <t>Kayan</t>
  </si>
  <si>
    <t>Kattameya Creeks</t>
  </si>
  <si>
    <t>New Giza Teaching Hospital</t>
  </si>
  <si>
    <t>Egat Rolling Mill no.4</t>
  </si>
  <si>
    <t>Carrfour Hayper market</t>
  </si>
  <si>
    <t>Egat Mechanical Installation</t>
  </si>
  <si>
    <t>El Khatatba Bridge</t>
  </si>
  <si>
    <t>HST Bridges-Sokhna</t>
  </si>
  <si>
    <t xml:space="preserve">Suez Steel Intake &amp; P Stations </t>
  </si>
  <si>
    <t>Marassi PKG #205</t>
  </si>
  <si>
    <t>PKG#220</t>
  </si>
  <si>
    <t>Sokhna port expansion</t>
  </si>
  <si>
    <t>DPW2</t>
  </si>
  <si>
    <t>EGAT Project</t>
  </si>
  <si>
    <t xml:space="preserve">Wadi Halfa </t>
  </si>
  <si>
    <t>Urban-K</t>
  </si>
  <si>
    <t>ORA Landscape</t>
  </si>
  <si>
    <t>MIVIDA</t>
  </si>
  <si>
    <t>Ministry</t>
  </si>
  <si>
    <t xml:space="preserve">Exchange </t>
  </si>
  <si>
    <t>MSH</t>
  </si>
  <si>
    <t>ADC</t>
  </si>
  <si>
    <t>Waldorf Astoria</t>
  </si>
  <si>
    <t>Radamis</t>
  </si>
  <si>
    <t>Railway</t>
  </si>
  <si>
    <t>October Dry Port Railway</t>
  </si>
  <si>
    <t>Pkg205</t>
  </si>
  <si>
    <t>Shut Down</t>
  </si>
  <si>
    <t>Missing CS</t>
  </si>
  <si>
    <t>Project Name</t>
  </si>
  <si>
    <t>Our Name</t>
  </si>
  <si>
    <t>MDF FACTORY</t>
  </si>
  <si>
    <t>البرابخ - HST CUlVERTS</t>
  </si>
  <si>
    <t>PKG#189</t>
  </si>
  <si>
    <t>جامعة المنصورة</t>
  </si>
  <si>
    <t>نفق اكتوبر</t>
  </si>
  <si>
    <t>Borsa</t>
  </si>
  <si>
    <t xml:space="preserve">Project : EGAT Lock &amp; Load </t>
  </si>
  <si>
    <t xml:space="preserve">Project : EGAT Pelletizing Plant </t>
  </si>
  <si>
    <t xml:space="preserve">Project : EMAAR-Pkg#162/163- Marassi </t>
  </si>
  <si>
    <t xml:space="preserve">Project : ElSewedy HQ Internal Finishing </t>
  </si>
  <si>
    <t xml:space="preserve">Project : ORA ZED - Ph 01B - Pkgs A&amp;D </t>
  </si>
  <si>
    <t xml:space="preserve">Project : ORA ZED-Ph 2-Pkgs A&amp;D </t>
  </si>
  <si>
    <t xml:space="preserve">Project : Port Said Port Silos </t>
  </si>
  <si>
    <t xml:space="preserve">Project : Radamis City </t>
  </si>
  <si>
    <t xml:space="preserve">Project : SSC Suez Steel Company Project </t>
  </si>
  <si>
    <t xml:space="preserve">Project : Sokhna Port Expansion </t>
  </si>
  <si>
    <t xml:space="preserve">Project : Cairo-Alex Railway </t>
  </si>
  <si>
    <t xml:space="preserve">Project : Faculty of Medicine </t>
  </si>
  <si>
    <t xml:space="preserve">Project : Ministries Buildings </t>
  </si>
  <si>
    <t xml:space="preserve">Project : NUCA R05 - Z02 </t>
  </si>
  <si>
    <t>الصالة المغطاه-تشطيبات</t>
  </si>
  <si>
    <t>EDECS</t>
  </si>
  <si>
    <t>الدفاع الجوى</t>
  </si>
  <si>
    <t>الصالة المغطاة - كهروميكانيكا</t>
  </si>
  <si>
    <t xml:space="preserve">الصالة المغطاة - الاعمال الصحية </t>
  </si>
  <si>
    <t>القطامية جريك</t>
  </si>
  <si>
    <t>ORA ZED BARK 2</t>
  </si>
  <si>
    <t>ORA ZED BARK</t>
  </si>
  <si>
    <t>مستشفى نيوجيزة</t>
  </si>
  <si>
    <t>سوريل</t>
  </si>
  <si>
    <t>PKG#163</t>
  </si>
  <si>
    <t>سوريل لاندسكيب</t>
  </si>
  <si>
    <t>الترعة الخرسانية</t>
  </si>
  <si>
    <t>Rolling mill</t>
  </si>
  <si>
    <t>صوامع بورسعيد</t>
  </si>
  <si>
    <t xml:space="preserve">EIPICO 3 </t>
  </si>
  <si>
    <t>السويدى HQ</t>
  </si>
  <si>
    <t>الصالة المغطاة</t>
  </si>
  <si>
    <t>حى الوزارات</t>
  </si>
  <si>
    <t>العلمين</t>
  </si>
  <si>
    <t>البورصة</t>
  </si>
  <si>
    <t xml:space="preserve">Carrefour fitout </t>
  </si>
  <si>
    <t>Carrefour head office</t>
  </si>
  <si>
    <t>توسعة ميناء السخنة</t>
  </si>
  <si>
    <t>الكيان</t>
  </si>
  <si>
    <t>تطوير مبنى العاصمة الادارية</t>
  </si>
  <si>
    <t>GOV2</t>
  </si>
  <si>
    <t>كيان</t>
  </si>
  <si>
    <t>LEKELA</t>
  </si>
  <si>
    <t>مصنع ايجات</t>
  </si>
  <si>
    <t xml:space="preserve">موانى دبى مرحلة تانية </t>
  </si>
  <si>
    <t>Mechanical installation</t>
  </si>
  <si>
    <t>وادى حلفا السودان</t>
  </si>
  <si>
    <t>dp world</t>
  </si>
  <si>
    <t>جامعة المنصورة تشطيبات</t>
  </si>
  <si>
    <t xml:space="preserve">كوبرى وادى النطرون </t>
  </si>
  <si>
    <t>كوبرى المحاجر</t>
  </si>
  <si>
    <t>فندق راداميس</t>
  </si>
  <si>
    <t>السلطانة ملك</t>
  </si>
  <si>
    <t>PKG#177</t>
  </si>
  <si>
    <t>كوبرى الخطاطبة</t>
  </si>
  <si>
    <t>كوبرى السخنة 4.5 ك</t>
  </si>
  <si>
    <t>كوبرى ابوغالب</t>
  </si>
  <si>
    <t>Suez Intake &amp; P Stations supply -ABB</t>
  </si>
  <si>
    <t>Suez Intake &amp; P Stations supply -SSC</t>
  </si>
  <si>
    <t>suez steel- R.O.  ( SUPPLY)</t>
  </si>
  <si>
    <t>Suez intake&amp; p stations apply ABB</t>
  </si>
  <si>
    <t>Suez intake&amp; p stations apply SSC</t>
  </si>
  <si>
    <t>ORA LANDSCAPE</t>
  </si>
  <si>
    <t>توسعة ميناء السخنة 2</t>
  </si>
  <si>
    <t>Seashell playa- اعمال تشطيبات</t>
  </si>
  <si>
    <t>Seashell playa-اعمال بياض و تخشيب</t>
  </si>
  <si>
    <t>Seashell playa</t>
  </si>
  <si>
    <t>دائرى المرج</t>
  </si>
  <si>
    <t>طريق الساحلى</t>
  </si>
  <si>
    <t>دائرى المريوطية</t>
  </si>
  <si>
    <t>نفق الاسمرات</t>
  </si>
  <si>
    <t>فندق والدروف</t>
  </si>
  <si>
    <t>الدفاع الجوى-تشطيبات</t>
  </si>
  <si>
    <t>PKG#205</t>
  </si>
  <si>
    <t xml:space="preserve">intake and return supply  </t>
  </si>
  <si>
    <t>قصر محمد على</t>
  </si>
  <si>
    <t>ميناء اكتوبر</t>
  </si>
  <si>
    <t>Admin Building EGAT</t>
  </si>
  <si>
    <t xml:space="preserve">ابوشنب - الفيوم </t>
  </si>
  <si>
    <t>جوهر اللا لا</t>
  </si>
  <si>
    <t>كوبرى العلمين الضبعة</t>
  </si>
  <si>
    <t>PKG#205-SWI#01 fitout</t>
  </si>
  <si>
    <t>PKG#220 -SOI TOWN</t>
  </si>
  <si>
    <t>R5 FINSHING</t>
  </si>
  <si>
    <t>Suez Steel - Revamp</t>
  </si>
  <si>
    <t>NILE WOOD</t>
  </si>
  <si>
    <t>شركة العاصمة الادارية للتنمية العمرانية</t>
  </si>
  <si>
    <t>شركة السويس للصلب</t>
  </si>
  <si>
    <t>الهيئة القومية للانفاق</t>
  </si>
  <si>
    <t>اعمار مصر للتنمية</t>
  </si>
  <si>
    <t>جهاز العاصمة الادارية</t>
  </si>
  <si>
    <t>جهاز تنمية مدينة 6 اكتوبر</t>
  </si>
  <si>
    <t>General Company for Silos and Storage</t>
  </si>
  <si>
    <t>Egyptian Grinding Advanced Technology S.A.E(EGAT)</t>
  </si>
  <si>
    <t>Emaar Misr For Development</t>
  </si>
  <si>
    <t>ELSEWEDY ELECTRIC</t>
  </si>
  <si>
    <t>Ora Developers</t>
  </si>
  <si>
    <t>Radmes Hotels and Resorts</t>
  </si>
  <si>
    <t>Suez Steel Company</t>
  </si>
  <si>
    <t>GENERAL AUTHORITY FOR ROADS , BRIDGES AND TRANSPOR</t>
  </si>
  <si>
    <t>Ministry of Transportation/Egyptian National Railw</t>
  </si>
  <si>
    <t>New Urban Communities Authority NUCA</t>
  </si>
  <si>
    <t>Armed Forces</t>
  </si>
  <si>
    <t>الهيئة العامة للقوات المسلحة</t>
  </si>
  <si>
    <t>STARLIGHT</t>
  </si>
  <si>
    <t>ORA</t>
  </si>
  <si>
    <t>الجيزة الجديدة للبنية الاساسية</t>
  </si>
  <si>
    <t>EGAT</t>
  </si>
  <si>
    <t>الشركة العامة للصوامع والتخزين</t>
  </si>
  <si>
    <t>EIPICO</t>
  </si>
  <si>
    <t>السويدى الكتريك</t>
  </si>
  <si>
    <t xml:space="preserve">MAF </t>
  </si>
  <si>
    <t>الطرق والكبارى</t>
  </si>
  <si>
    <t>SIEMENS GAMESA</t>
  </si>
  <si>
    <t>DP WORLD</t>
  </si>
  <si>
    <t>الهيئة العامة للنقل النهرى</t>
  </si>
  <si>
    <t xml:space="preserve">هيئة الانفاق </t>
  </si>
  <si>
    <t>راداميس</t>
  </si>
  <si>
    <t>RME-G</t>
  </si>
  <si>
    <t>شركة الخليج للسياحة والفنادق</t>
  </si>
  <si>
    <t>شركة مياه الفيوم</t>
  </si>
  <si>
    <t>OCTOBER DRY</t>
  </si>
  <si>
    <t>Client</t>
  </si>
  <si>
    <t>Category</t>
  </si>
  <si>
    <t>Sub Category</t>
  </si>
  <si>
    <t>Client Type</t>
  </si>
  <si>
    <t>Infrastructure</t>
  </si>
  <si>
    <t>L&amp;L</t>
  </si>
  <si>
    <t>Army Forces</t>
  </si>
  <si>
    <t>ARMY</t>
  </si>
  <si>
    <t>Commercial</t>
  </si>
  <si>
    <t>Offices &amp; Mall</t>
  </si>
  <si>
    <t>YAMM</t>
  </si>
  <si>
    <t>Private</t>
  </si>
  <si>
    <t>EMAAR</t>
  </si>
  <si>
    <t>Al-Futtaim</t>
  </si>
  <si>
    <t>Head Office</t>
  </si>
  <si>
    <t>DPW</t>
  </si>
  <si>
    <t>Networks</t>
  </si>
  <si>
    <t>SODIC</t>
  </si>
  <si>
    <t>Industrial</t>
  </si>
  <si>
    <t>Factory</t>
  </si>
  <si>
    <t>Elco Suez</t>
  </si>
  <si>
    <t>Power Plant</t>
  </si>
  <si>
    <t>Port</t>
  </si>
  <si>
    <t xml:space="preserve">Sewedy </t>
  </si>
  <si>
    <t>Affiliates</t>
  </si>
  <si>
    <t>University</t>
  </si>
  <si>
    <t>Marakez</t>
  </si>
  <si>
    <t>Restoration</t>
  </si>
  <si>
    <t>Army</t>
  </si>
  <si>
    <t>Residential</t>
  </si>
  <si>
    <t>Starlight</t>
  </si>
  <si>
    <t>Naile Wood</t>
  </si>
  <si>
    <t>New Giza</t>
  </si>
  <si>
    <t>Ora</t>
  </si>
  <si>
    <t>Public</t>
  </si>
  <si>
    <t>Government</t>
  </si>
  <si>
    <t>Al Babtain Group</t>
  </si>
  <si>
    <t>Club</t>
  </si>
  <si>
    <t>Transportation Ministry</t>
  </si>
  <si>
    <t>Market</t>
  </si>
  <si>
    <t>Gulf Company for Tourism and Hotels</t>
  </si>
  <si>
    <t>Palace</t>
  </si>
  <si>
    <t>Bridges &amp; Tunnels</t>
  </si>
  <si>
    <t>ENR</t>
  </si>
  <si>
    <t>Utilities And Urban Communities</t>
  </si>
  <si>
    <t>Roads and Bridges Authority</t>
  </si>
  <si>
    <t>Kemet</t>
  </si>
  <si>
    <t>Roads</t>
  </si>
  <si>
    <t>Mosque</t>
  </si>
  <si>
    <t>Parking</t>
  </si>
  <si>
    <t>Hyper</t>
  </si>
  <si>
    <t>GAMESA</t>
  </si>
  <si>
    <t>Hangar</t>
  </si>
  <si>
    <t>SIEMENS</t>
  </si>
  <si>
    <t>TSK</t>
  </si>
  <si>
    <t>MAF</t>
  </si>
  <si>
    <t>Hotel</t>
  </si>
  <si>
    <t>EETC</t>
  </si>
  <si>
    <t>SSC Suez Steel Company Project  0184</t>
  </si>
  <si>
    <t>Project Oricale2</t>
  </si>
  <si>
    <t>Kayan 3 New Cairo Capital City</t>
  </si>
  <si>
    <t>New Giza 2</t>
  </si>
  <si>
    <t>Haramein Columns Transfer  0199</t>
  </si>
  <si>
    <t>Haramein Columns Transfer</t>
  </si>
  <si>
    <t>Jawhara Palace Restoratio</t>
  </si>
  <si>
    <t>Hosh Eissa Hospital</t>
  </si>
  <si>
    <t>Mabarra for Girls Orphana</t>
  </si>
  <si>
    <t>British International School</t>
  </si>
  <si>
    <t>British International School  0203</t>
  </si>
  <si>
    <t>Jawhara Palace Restoratio  0200</t>
  </si>
  <si>
    <t>Mabarra for Girls Orphana  0202</t>
  </si>
  <si>
    <t>Ring Road (El- Marg)</t>
  </si>
  <si>
    <t>Sahary El- Ahram</t>
  </si>
  <si>
    <t>Bridges Sector</t>
  </si>
  <si>
    <t>Suez</t>
  </si>
  <si>
    <t>Port Said Grain Silos</t>
  </si>
  <si>
    <t>EPICO 3</t>
  </si>
  <si>
    <t xml:space="preserve">Exchange Building </t>
  </si>
  <si>
    <t>0122 Ring Road</t>
  </si>
  <si>
    <t>0189 Service Road</t>
  </si>
  <si>
    <t>0130 Kafr Shokr</t>
  </si>
  <si>
    <t>0152 HST Sokhna</t>
  </si>
  <si>
    <t>0167 Wady El Natron</t>
  </si>
  <si>
    <t>0168 HST Mahager</t>
  </si>
  <si>
    <t>0169 HST Culverts</t>
  </si>
  <si>
    <t>0143 Khatatba</t>
  </si>
  <si>
    <t>0157 Abo Ghaleb</t>
  </si>
  <si>
    <t>0166 El Alameen</t>
  </si>
  <si>
    <t>EGAT Projects</t>
  </si>
  <si>
    <t>Projects</t>
  </si>
  <si>
    <t>Cost Centre</t>
  </si>
  <si>
    <t>Projects Manager</t>
  </si>
  <si>
    <t>Hosh Eissa Hospital  0201</t>
  </si>
  <si>
    <t>Grain Silos</t>
  </si>
  <si>
    <t>قطار القاهرة-اسكندرية</t>
  </si>
  <si>
    <t>الصالة المغطاه</t>
  </si>
  <si>
    <t>الحى الدبلوماسى</t>
  </si>
  <si>
    <t>Collection Name</t>
  </si>
  <si>
    <t>VBA Name</t>
  </si>
  <si>
    <t>Index Match Name</t>
  </si>
  <si>
    <t>Index Match CS</t>
  </si>
  <si>
    <t> Renovation of Senior School Building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</si>
</sst>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1" fillId="0" borderId="0" xfId="0" applyFont="1"/>
    <xf numFmtId="0" fontId="1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3" fontId="0" fillId="0" borderId="0" xfId="0" applyNumberFormat="1"/>
  </cellXfs>
  <cellStyles count="1">
    <cellStyle name="Normal" xfId="0" builtinId="0"/>
  </cellStyles>
  <dxfs count="43">
    <dxf>
      <fill>
        <patternFill>
          <bgColor theme="5" tint="-0.24994659260841701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rgb="FFC65911"/>
          <bgColor rgb="FF000000"/>
        </patternFill>
      </fill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center" textRotation="0" wrapText="0" indent="0" justifyLastLine="0" shrinkToFit="0" readingOrder="0"/>
    </dxf>
    <dxf>
      <numFmt numFmtId="3" formatCode="#,##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M:\RME-USB\Project%20Control\Cash\Reinnovation\Summary%20Collection%20Vs%20Cash%20Out%20Year_2023-08-13.xlsb" TargetMode="External"/><Relationship Id="rId1" Type="http://schemas.openxmlformats.org/officeDocument/2006/relationships/externalLinkPath" Target="Summary%20Collection%20Vs%20Cash%20Out%20Year_2023-08-13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n.2023"/>
      <sheetName val="Feb.2023"/>
      <sheetName val="Project"/>
      <sheetName val="Collection ERP 23"/>
      <sheetName val="Out"/>
      <sheetName val="In"/>
      <sheetName val="Summary Sector"/>
      <sheetName val="Total Actual Cash Out"/>
      <sheetName val="Categorization"/>
      <sheetName val="Total Collection 2023"/>
      <sheetName val="Summary"/>
      <sheetName val="Subcontract Unique"/>
      <sheetName val="Sheet2"/>
      <sheetName val="Codes"/>
      <sheetName val="Sheet1"/>
      <sheetName val="Master Data"/>
      <sheetName val="Planned Cash Out"/>
      <sheetName val="Cash Plan"/>
      <sheetName val="Planned Cash out -March,April"/>
      <sheetName val="Planned Cash Out Categ."/>
      <sheetName val="Trteeb"/>
      <sheetName val="Collection 2023 Pivot"/>
      <sheetName val="Actual Cash Out Categorization"/>
      <sheetName val="Master Data Oricale"/>
      <sheetName val="Planned vs Act March Collection"/>
      <sheetName val="March Planned Collection"/>
      <sheetName val="Planned vs Act April"/>
      <sheetName val="April Planned Collection"/>
      <sheetName val="Fund"/>
      <sheetName val="Fund Sum."/>
      <sheetName val="Summary Collection Vs Cash Out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hamed Gaballah" refreshedDate="45076.421149884256" createdVersion="8" refreshedVersion="8" minRefreshableVersion="3" recordCount="24" xr:uid="{FA14BFC6-30BC-4D67-825D-B978E48B6DB1}">
  <cacheSource type="worksheet">
    <worksheetSource ref="D3:E26" sheet="Clients"/>
  </cacheSource>
  <cacheFields count="2">
    <cacheField name="General" numFmtId="0">
      <sharedItems count="4">
        <s v="Indirect Operation Cash out"/>
        <s v="Operation Cash Out"/>
        <s v="Finance Overheads"/>
        <s v="Head office Overheads"/>
      </sharedItems>
    </cacheField>
    <cacheField name="Our" numFmtId="0">
      <sharedItems count="24">
        <s v="Daily Wages"/>
        <s v="Concrete"/>
        <s v="Fleet"/>
        <s v="Subcontractors Daily Wages"/>
        <s v="Petty Cash"/>
        <s v="(Taxes +Insurance+OH+Profit) 12%"/>
        <s v="Guard"/>
        <s v="Supply &amp; Apply"/>
        <s v="Salaries"/>
        <s v="Mobile"/>
        <s v="Purchasing (Current Accounts)"/>
        <s v="Overheads"/>
        <s v="Accommodation"/>
        <s v="Consultancy"/>
        <s v="Equipment"/>
        <s v="Pos &amp; Delivery Payments"/>
        <s v="Procurment (AP )"/>
        <s v="Steel"/>
        <s v="Heavy Equipment"/>
        <s v="Wood"/>
        <s v="Apply Only"/>
        <s v="Scaffolding"/>
        <s v="Supply Only"/>
        <s v="Earthwork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x v="0"/>
    <x v="0"/>
  </r>
  <r>
    <x v="1"/>
    <x v="1"/>
  </r>
  <r>
    <x v="0"/>
    <x v="2"/>
  </r>
  <r>
    <x v="0"/>
    <x v="3"/>
  </r>
  <r>
    <x v="1"/>
    <x v="4"/>
  </r>
  <r>
    <x v="2"/>
    <x v="5"/>
  </r>
  <r>
    <x v="0"/>
    <x v="6"/>
  </r>
  <r>
    <x v="1"/>
    <x v="7"/>
  </r>
  <r>
    <x v="0"/>
    <x v="8"/>
  </r>
  <r>
    <x v="0"/>
    <x v="9"/>
  </r>
  <r>
    <x v="1"/>
    <x v="10"/>
  </r>
  <r>
    <x v="3"/>
    <x v="11"/>
  </r>
  <r>
    <x v="0"/>
    <x v="12"/>
  </r>
  <r>
    <x v="1"/>
    <x v="13"/>
  </r>
  <r>
    <x v="1"/>
    <x v="14"/>
  </r>
  <r>
    <x v="1"/>
    <x v="15"/>
  </r>
  <r>
    <x v="1"/>
    <x v="16"/>
  </r>
  <r>
    <x v="1"/>
    <x v="17"/>
  </r>
  <r>
    <x v="0"/>
    <x v="18"/>
  </r>
  <r>
    <x v="1"/>
    <x v="19"/>
  </r>
  <r>
    <x v="1"/>
    <x v="20"/>
  </r>
  <r>
    <x v="1"/>
    <x v="21"/>
  </r>
  <r>
    <x v="1"/>
    <x v="22"/>
  </r>
  <r>
    <x v="0"/>
    <x v="2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DB86C3-FB42-414D-BC6F-36494C7ED0FA}" name="PivotTable3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B28" firstHeaderRow="1" firstDataRow="1" firstDataCol="2"/>
  <pivotFields count="2">
    <pivotField axis="axisRow" compact="0" outline="0" showAll="0" defaultSubtotal="0">
      <items count="4">
        <item x="2"/>
        <item x="3"/>
        <item x="0"/>
        <item x="1"/>
      </items>
    </pivotField>
    <pivotField axis="axisRow" compact="0" outline="0" showAll="0" defaultSubtotal="0">
      <items count="24">
        <item x="5"/>
        <item x="12"/>
        <item x="20"/>
        <item x="1"/>
        <item x="13"/>
        <item x="0"/>
        <item x="23"/>
        <item x="14"/>
        <item x="2"/>
        <item x="6"/>
        <item x="18"/>
        <item x="9"/>
        <item x="11"/>
        <item x="4"/>
        <item x="15"/>
        <item x="16"/>
        <item x="10"/>
        <item x="8"/>
        <item x="21"/>
        <item x="17"/>
        <item x="3"/>
        <item x="7"/>
        <item x="22"/>
        <item x="19"/>
      </items>
    </pivotField>
  </pivotFields>
  <rowFields count="2">
    <field x="0"/>
    <field x="1"/>
  </rowFields>
  <rowItems count="25">
    <i>
      <x/>
      <x/>
    </i>
    <i>
      <x v="1"/>
      <x v="12"/>
    </i>
    <i>
      <x v="2"/>
      <x v="1"/>
    </i>
    <i r="1">
      <x v="5"/>
    </i>
    <i r="1">
      <x v="6"/>
    </i>
    <i r="1">
      <x v="8"/>
    </i>
    <i r="1">
      <x v="9"/>
    </i>
    <i r="1">
      <x v="10"/>
    </i>
    <i r="1">
      <x v="11"/>
    </i>
    <i r="1">
      <x v="17"/>
    </i>
    <i r="1">
      <x v="20"/>
    </i>
    <i>
      <x v="3"/>
      <x v="2"/>
    </i>
    <i r="1">
      <x v="3"/>
    </i>
    <i r="1">
      <x v="4"/>
    </i>
    <i r="1">
      <x v="7"/>
    </i>
    <i r="1">
      <x v="13"/>
    </i>
    <i r="1">
      <x v="14"/>
    </i>
    <i r="1">
      <x v="15"/>
    </i>
    <i r="1">
      <x v="16"/>
    </i>
    <i r="1">
      <x v="18"/>
    </i>
    <i r="1">
      <x v="19"/>
    </i>
    <i r="1">
      <x v="21"/>
    </i>
    <i r="1">
      <x v="22"/>
    </i>
    <i r="1">
      <x v="23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F13484-7B07-4639-89E2-E404DAADE6A2}" name="Table4" displayName="Table4" ref="A1:K123" totalsRowShown="0" headerRowDxfId="42" dataDxfId="41">
  <autoFilter ref="A1:K123" xr:uid="{97F13484-7B07-4639-89E2-E404DAADE6A2}">
    <filterColumn colId="0">
      <filters>
        <filter val="EGAT Lock &amp; Load  0173"/>
        <filter val="EGAT Mechanical Installations  0198"/>
        <filter val="EGAT Pelletizing Plant  0144"/>
        <filter val="Egat Rolling Mill no.4  0172"/>
        <filter val="ELCO STEEL-EGAT  0102"/>
      </filters>
    </filterColumn>
  </autoFilter>
  <sortState xmlns:xlrd2="http://schemas.microsoft.com/office/spreadsheetml/2017/richdata2" ref="A2:K118">
    <sortCondition ref="C1:C118"/>
  </sortState>
  <tableColumns count="11">
    <tableColumn id="1" xr3:uid="{EA1FA793-523C-4A64-8612-78E90D859D63}" name="Project Oricale" dataDxfId="40"/>
    <tableColumn id="11" xr3:uid="{8360C4E1-E669-4F57-B96A-DBEBC6853CAB}" name="Project Oricale2" dataDxfId="39">
      <calculatedColumnFormula>TRIM(LEFT(A2,FIND(RIGHT(A2,6),A2)-1))</calculatedColumnFormula>
    </tableColumn>
    <tableColumn id="2" xr3:uid="{D822B1E4-C7A5-4FC0-8163-384B0347B2D2}" name="Cost Center" dataDxfId="38"/>
    <tableColumn id="3" xr3:uid="{9A671D98-FBFB-4E7D-ACB2-6410A240DDE7}" name="Serial" dataDxfId="37"/>
    <tableColumn id="4" xr3:uid="{ABC092CE-896B-440F-90B4-EA4490942420}" name="Project Name Control" dataDxfId="36"/>
    <tableColumn id="5" xr3:uid="{E7615C35-38BE-4862-A24E-F390C2A7C516}" name="Sector Name" dataDxfId="35"/>
    <tableColumn id="6" xr3:uid="{388CE5E4-98A6-4477-8ED0-E9EC7AC16C8B}" name="Project MANAGER" dataDxfId="34"/>
    <tableColumn id="7" xr3:uid="{8123F2C1-4B94-4B46-B2FF-498150C72A2F}" name="Category" dataDxfId="33"/>
    <tableColumn id="8" xr3:uid="{86DF65B0-1353-41E9-A344-C2566B7ADAB9}" name="Sub Category" dataDxfId="32"/>
    <tableColumn id="9" xr3:uid="{AD663378-BAEB-4794-AEB4-5DA2517AEB3A}" name="Client" dataDxfId="31"/>
    <tableColumn id="10" xr3:uid="{F5DA1111-7E99-49F5-B378-9614B521DCCF}" name="Client Type" dataDxfId="30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C8CF8BD-C442-4132-84FE-33E3F7BCCB67}" name="Table16" displayName="Table16" ref="A1:C67" totalsRowShown="0" headerRowDxfId="29" dataDxfId="28">
  <autoFilter ref="A1:C67" xr:uid="{85CDA9DF-ABE4-4E80-BEC2-67CE3A091278}"/>
  <tableColumns count="3">
    <tableColumn id="1" xr3:uid="{50752CBB-0569-4A5B-A48D-5E390FE6F0AB}" name="Project Name" dataDxfId="27"/>
    <tableColumn id="3" xr3:uid="{3AEB9BC3-7CFF-4625-AB01-8448D3A5B049}" name="Cost Center" dataDxfId="26"/>
    <tableColumn id="2" xr3:uid="{70F6E297-BF94-4FEF-AE4D-84786FD4C1FA}" name="Our Name" dataDxfId="25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4E72F0D-ECEE-4A1B-8600-C8332924B57A}" name="Table5" displayName="Table5" ref="F1:J1187" totalsRowShown="0">
  <autoFilter ref="F1:J1187" xr:uid="{C4E72F0D-ECEE-4A1B-8600-C8332924B57A}"/>
  <tableColumns count="5">
    <tableColumn id="1" xr3:uid="{2B081F5E-0F88-4F8E-A456-5296311D4078}" name="Projects"/>
    <tableColumn id="2" xr3:uid="{DFABD7E9-12BA-4C3A-B05E-3556FAE88E5F}" name="Cost Centre" dataDxfId="24">
      <calculatedColumnFormula array="1">INT(planned(F2))</calculatedColumnFormula>
    </tableColumn>
    <tableColumn id="3" xr3:uid="{4A93C2C6-9380-4368-B6BB-8D454519BB0C}" name="Serial">
      <calculatedColumnFormula>VLOOKUP(G2,Table4[[#All],[Cost Center]:[Client Type]],2,TRUE)</calculatedColumnFormula>
    </tableColumn>
    <tableColumn id="4" xr3:uid="{DD5E7B30-718F-4460-8BF0-89C60E912480}" name="Project Name">
      <calculatedColumnFormula>VLOOKUP(G2,Table4[[#All],[Cost Center]:[Client Type]],3,TRUE)</calculatedColumnFormula>
    </tableColumn>
    <tableColumn id="5" xr3:uid="{1A4A6001-8374-4D12-BF50-32FE64942FD4}" name="Projects Manager">
      <calculatedColumnFormula>VLOOKUP(G2,Table4[[#All],[Cost Center]:[Client Type]],5,TRUE)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E0C4E09-7DBF-474D-9556-054407344D67}" name="Table2" displayName="Table2" ref="A1:B31" totalsRowShown="0" headerRowDxfId="23">
  <autoFilter ref="A1:B31" xr:uid="{DE0C4E09-7DBF-474D-9556-054407344D67}"/>
  <tableColumns count="2">
    <tableColumn id="1" xr3:uid="{965202B8-752E-4CD6-9B99-08FC4D0569AD}" name="Input Here"/>
    <tableColumn id="2" xr3:uid="{26C99C96-E655-48AB-B458-F79340EEFDDE}" name="Categorization">
      <calculatedColumnFormula array="1">categorize(Table2[[#This Row],[Input Here]])</calculatedColumnFormula>
    </tableColumn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ABD767-5FBD-4383-9C9F-EECD02D47BF3}" name="Table1" displayName="Table1" ref="A1:B98" totalsRowShown="0" headerRowDxfId="22" dataDxfId="21">
  <autoFilter ref="A1:B98" xr:uid="{81ABD767-5FBD-4383-9C9F-EECD02D47BF3}"/>
  <sortState xmlns:xlrd2="http://schemas.microsoft.com/office/spreadsheetml/2017/richdata2" ref="A2:B96">
    <sortCondition sortBy="cellColor" ref="A1:A96" dxfId="20"/>
  </sortState>
  <tableColumns count="2">
    <tableColumn id="1" xr3:uid="{2C41569F-E539-4E76-9147-08B025712264}" name="Project Name" dataDxfId="19"/>
    <tableColumn id="2" xr3:uid="{734B75AF-0E33-49F9-BF1C-1D44B7B40B20}" name="Our Name" dataDxfId="18"/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F8FD7F-3D6D-40A0-9224-A305A1178DE4}" name="Table7" displayName="Table7" ref="F1:I13" totalsRowShown="0" dataDxfId="17">
  <autoFilter ref="F1:I13" xr:uid="{85F8FD7F-3D6D-40A0-9224-A305A1178DE4}"/>
  <tableColumns count="4">
    <tableColumn id="1" xr3:uid="{E3D07BE7-A8E7-4E2C-B5A5-FBFF0DD1BCF3}" name="Collection Name" dataDxfId="16"/>
    <tableColumn id="2" xr3:uid="{1555EFC2-1745-4D22-8C09-94FC39084CB0}" name="VBA Name" dataDxfId="15">
      <calculatedColumnFormula array="1">collection(F2)</calculatedColumnFormula>
    </tableColumn>
    <tableColumn id="3" xr3:uid="{AC74B93D-8FCB-4B36-B911-A79731E0DDEE}" name="Index Match Name" dataDxfId="14">
      <calculatedColumnFormula>INDEX(Table4[],MATCH('For Collection'!G2,Table4[Project Name Control],0),7)</calculatedColumnFormula>
    </tableColumn>
    <tableColumn id="4" xr3:uid="{D1529967-F0C8-42C8-B252-7F10B48DCE8B}" name="Index Match CS" dataDxfId="13">
      <calculatedColumnFormula>INDEX(Table4[],MATCH('For Collection'!G2,Table4[Project Name Control],0),3)</calculatedColumnFormula>
    </tableColumn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5ABF1D-B6B8-47BE-94C5-4609853BE165}" name="Table3" displayName="Table3" ref="A1:A40" totalsRowShown="0" headerRowDxfId="12" dataDxfId="11">
  <autoFilter ref="A1:A40" xr:uid="{325ABF1D-B6B8-47BE-94C5-4609853BE165}"/>
  <tableColumns count="1">
    <tableColumn id="1" xr3:uid="{F7ABCC4D-28FC-45D6-95E0-0E0A2BD342DA}" name="Client" dataDxfId="1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EBA0C-1BEE-46F9-A64A-C33A3C5EE5EC}">
  <sheetPr codeName="Sheet2"/>
  <dimension ref="A1:K123"/>
  <sheetViews>
    <sheetView zoomScale="85" zoomScaleNormal="85" workbookViewId="0">
      <pane ySplit="1" topLeftCell="A31" activePane="bottomLeft" state="frozen"/>
      <selection pane="bottomLeft" activeCell="C134" sqref="C134"/>
    </sheetView>
  </sheetViews>
  <sheetFormatPr defaultRowHeight="15" x14ac:dyDescent="0.25"/>
  <cols>
    <col min="1" max="1" width="46.140625" bestFit="1" customWidth="1"/>
    <col min="2" max="2" width="46.140625" customWidth="1"/>
    <col min="3" max="3" width="16" bestFit="1" customWidth="1"/>
    <col min="4" max="4" width="11.28515625" bestFit="1" customWidth="1"/>
    <col min="5" max="5" width="46.140625" customWidth="1"/>
    <col min="6" max="6" width="33.28515625" bestFit="1" customWidth="1"/>
    <col min="7" max="7" width="24.140625" bestFit="1" customWidth="1"/>
    <col min="8" max="8" width="13.85546875" style="2" bestFit="1" customWidth="1"/>
    <col min="9" max="9" width="18.140625" style="2" bestFit="1" customWidth="1"/>
    <col min="10" max="10" width="36.28515625" style="2" bestFit="1" customWidth="1"/>
    <col min="11" max="11" width="15.7109375" style="2" bestFit="1" customWidth="1"/>
    <col min="15" max="15" width="15" bestFit="1" customWidth="1"/>
  </cols>
  <sheetData>
    <row r="1" spans="1:11" x14ac:dyDescent="0.25">
      <c r="A1" s="5" t="s">
        <v>33</v>
      </c>
      <c r="B1" s="5" t="s">
        <v>551</v>
      </c>
      <c r="C1" s="5" t="s">
        <v>34</v>
      </c>
      <c r="D1" s="5" t="s">
        <v>35</v>
      </c>
      <c r="E1" s="5" t="s">
        <v>36</v>
      </c>
      <c r="F1" s="5" t="s">
        <v>37</v>
      </c>
      <c r="G1" s="5" t="s">
        <v>38</v>
      </c>
      <c r="H1" s="5" t="s">
        <v>493</v>
      </c>
      <c r="I1" s="5" t="s">
        <v>494</v>
      </c>
      <c r="J1" s="5" t="s">
        <v>492</v>
      </c>
      <c r="K1" s="5" t="s">
        <v>495</v>
      </c>
    </row>
    <row r="2" spans="1:11" hidden="1" x14ac:dyDescent="0.25">
      <c r="A2" s="2" t="s">
        <v>134</v>
      </c>
      <c r="B2" s="2" t="str">
        <f t="shared" ref="B2:B33" si="0">TRIM(LEFT(A2,FIND(RIGHT(A2,6),A2)-1))</f>
        <v>Sodic Club House</v>
      </c>
      <c r="C2" s="2">
        <v>32</v>
      </c>
      <c r="D2" s="2">
        <v>52</v>
      </c>
      <c r="E2" s="2" t="s">
        <v>135</v>
      </c>
      <c r="F2" s="2" t="s">
        <v>42</v>
      </c>
      <c r="G2" s="2" t="s">
        <v>57</v>
      </c>
      <c r="H2" s="2" t="s">
        <v>500</v>
      </c>
      <c r="I2" s="2" t="s">
        <v>529</v>
      </c>
      <c r="J2" s="2" t="s">
        <v>509</v>
      </c>
      <c r="K2" s="2" t="s">
        <v>503</v>
      </c>
    </row>
    <row r="3" spans="1:11" hidden="1" x14ac:dyDescent="0.25">
      <c r="A3" s="2" t="s">
        <v>297</v>
      </c>
      <c r="B3" s="2" t="str">
        <f t="shared" si="0"/>
        <v>Al Mostathmreen GIS Substation</v>
      </c>
      <c r="C3" s="2">
        <v>40</v>
      </c>
      <c r="D3" s="2">
        <v>88</v>
      </c>
      <c r="E3" s="2" t="s">
        <v>298</v>
      </c>
      <c r="F3" s="2" t="s">
        <v>42</v>
      </c>
      <c r="G3" s="2" t="s">
        <v>118</v>
      </c>
      <c r="H3" s="2" t="s">
        <v>510</v>
      </c>
      <c r="I3" s="2" t="s">
        <v>513</v>
      </c>
      <c r="J3" s="2" t="s">
        <v>549</v>
      </c>
      <c r="K3" s="2" t="s">
        <v>526</v>
      </c>
    </row>
    <row r="4" spans="1:11" hidden="1" x14ac:dyDescent="0.25">
      <c r="A4" s="2" t="s">
        <v>308</v>
      </c>
      <c r="B4" s="2" t="str">
        <f t="shared" si="0"/>
        <v>Tamey El-amdeed Substation</v>
      </c>
      <c r="C4" s="2">
        <v>51</v>
      </c>
      <c r="D4" s="2">
        <v>36</v>
      </c>
      <c r="E4" s="2" t="s">
        <v>309</v>
      </c>
      <c r="F4" s="2" t="s">
        <v>42</v>
      </c>
      <c r="G4" s="2" t="s">
        <v>118</v>
      </c>
      <c r="H4" s="2" t="s">
        <v>510</v>
      </c>
      <c r="I4" s="2" t="s">
        <v>513</v>
      </c>
      <c r="J4" s="2" t="s">
        <v>549</v>
      </c>
      <c r="K4" s="2" t="s">
        <v>526</v>
      </c>
    </row>
    <row r="5" spans="1:11" hidden="1" x14ac:dyDescent="0.25">
      <c r="A5" s="2" t="s">
        <v>301</v>
      </c>
      <c r="B5" s="2" t="str">
        <f t="shared" si="0"/>
        <v>Ismailiya East Substation</v>
      </c>
      <c r="C5" s="2">
        <v>52</v>
      </c>
      <c r="D5" s="2">
        <v>35</v>
      </c>
      <c r="E5" s="2" t="s">
        <v>302</v>
      </c>
      <c r="F5" s="2" t="s">
        <v>42</v>
      </c>
      <c r="G5" s="2" t="s">
        <v>118</v>
      </c>
      <c r="H5" s="2" t="s">
        <v>510</v>
      </c>
      <c r="I5" s="2" t="s">
        <v>513</v>
      </c>
      <c r="J5" s="2" t="s">
        <v>549</v>
      </c>
      <c r="K5" s="2" t="s">
        <v>526</v>
      </c>
    </row>
    <row r="6" spans="1:11" hidden="1" x14ac:dyDescent="0.25">
      <c r="A6" s="2" t="s">
        <v>189</v>
      </c>
      <c r="B6" s="2" t="str">
        <f t="shared" si="0"/>
        <v>Ministries Buildings</v>
      </c>
      <c r="C6" s="2">
        <v>60</v>
      </c>
      <c r="D6" s="2">
        <v>19</v>
      </c>
      <c r="E6" s="2" t="s">
        <v>190</v>
      </c>
      <c r="F6" s="2" t="s">
        <v>191</v>
      </c>
      <c r="G6" s="2" t="s">
        <v>188</v>
      </c>
      <c r="H6" s="2" t="s">
        <v>500</v>
      </c>
      <c r="I6" s="2" t="s">
        <v>501</v>
      </c>
      <c r="J6" s="2" t="s">
        <v>498</v>
      </c>
      <c r="K6" s="2" t="s">
        <v>520</v>
      </c>
    </row>
    <row r="7" spans="1:11" hidden="1" x14ac:dyDescent="0.25">
      <c r="A7" s="2" t="s">
        <v>299</v>
      </c>
      <c r="B7" s="2" t="str">
        <f t="shared" si="0"/>
        <v>Beni Suef Substation R61</v>
      </c>
      <c r="C7" s="2">
        <v>61</v>
      </c>
      <c r="D7" s="2">
        <v>63</v>
      </c>
      <c r="E7" s="2" t="s">
        <v>300</v>
      </c>
      <c r="F7" s="2" t="s">
        <v>42</v>
      </c>
      <c r="G7" s="2" t="s">
        <v>118</v>
      </c>
      <c r="H7" s="2" t="s">
        <v>510</v>
      </c>
      <c r="I7" s="2" t="s">
        <v>513</v>
      </c>
      <c r="J7" s="2" t="s">
        <v>549</v>
      </c>
      <c r="K7" s="2" t="s">
        <v>526</v>
      </c>
    </row>
    <row r="8" spans="1:11" hidden="1" x14ac:dyDescent="0.25">
      <c r="A8" s="2" t="s">
        <v>132</v>
      </c>
      <c r="B8" s="2" t="str">
        <f t="shared" si="0"/>
        <v>Royal City</v>
      </c>
      <c r="C8" s="2">
        <v>63</v>
      </c>
      <c r="D8" s="2">
        <v>11</v>
      </c>
      <c r="E8" s="2" t="s">
        <v>133</v>
      </c>
      <c r="F8" s="2" t="s">
        <v>42</v>
      </c>
      <c r="G8" s="2" t="s">
        <v>57</v>
      </c>
      <c r="H8" s="2" t="s">
        <v>500</v>
      </c>
      <c r="I8" s="2" t="s">
        <v>501</v>
      </c>
      <c r="J8" s="2" t="s">
        <v>528</v>
      </c>
      <c r="K8" s="2" t="s">
        <v>503</v>
      </c>
    </row>
    <row r="9" spans="1:11" hidden="1" x14ac:dyDescent="0.25">
      <c r="A9" s="2" t="s">
        <v>289</v>
      </c>
      <c r="B9" s="2" t="str">
        <f t="shared" si="0"/>
        <v>El Sewedy Stores Project</v>
      </c>
      <c r="C9" s="2">
        <v>65</v>
      </c>
      <c r="D9" s="2">
        <v>57</v>
      </c>
      <c r="E9" s="2" t="s">
        <v>290</v>
      </c>
      <c r="F9" s="2" t="s">
        <v>42</v>
      </c>
      <c r="G9" s="2" t="s">
        <v>50</v>
      </c>
      <c r="H9" s="2" t="s">
        <v>510</v>
      </c>
      <c r="I9" s="2" t="s">
        <v>511</v>
      </c>
      <c r="J9" s="2" t="s">
        <v>515</v>
      </c>
      <c r="K9" s="2" t="s">
        <v>516</v>
      </c>
    </row>
    <row r="10" spans="1:11" hidden="1" x14ac:dyDescent="0.25">
      <c r="A10" s="2" t="s">
        <v>46</v>
      </c>
      <c r="B10" s="2" t="str">
        <f t="shared" si="0"/>
        <v>kayan wall lock &amp; Load</v>
      </c>
      <c r="C10" s="2">
        <v>68</v>
      </c>
      <c r="D10" s="2">
        <v>70</v>
      </c>
      <c r="E10" s="2" t="s">
        <v>47</v>
      </c>
      <c r="F10" s="2" t="s">
        <v>42</v>
      </c>
      <c r="G10" s="2" t="s">
        <v>43</v>
      </c>
      <c r="H10" s="2" t="s">
        <v>496</v>
      </c>
      <c r="I10" s="2" t="s">
        <v>497</v>
      </c>
      <c r="J10" s="2" t="s">
        <v>498</v>
      </c>
      <c r="K10" s="2" t="s">
        <v>520</v>
      </c>
    </row>
    <row r="11" spans="1:11" hidden="1" x14ac:dyDescent="0.25">
      <c r="A11" s="2" t="s">
        <v>256</v>
      </c>
      <c r="B11" s="2" t="str">
        <f t="shared" si="0"/>
        <v>Suez Steel Factory</v>
      </c>
      <c r="C11" s="2">
        <v>69</v>
      </c>
      <c r="D11" s="2">
        <v>51</v>
      </c>
      <c r="E11" s="2" t="s">
        <v>257</v>
      </c>
      <c r="F11" s="2" t="s">
        <v>42</v>
      </c>
      <c r="G11" s="2" t="s">
        <v>67</v>
      </c>
      <c r="H11" s="2" t="s">
        <v>510</v>
      </c>
      <c r="I11" s="2" t="s">
        <v>511</v>
      </c>
      <c r="J11" s="2" t="s">
        <v>477</v>
      </c>
      <c r="K11" s="2" t="s">
        <v>503</v>
      </c>
    </row>
    <row r="12" spans="1:11" hidden="1" x14ac:dyDescent="0.25">
      <c r="A12" s="2" t="s">
        <v>181</v>
      </c>
      <c r="B12" s="2" t="str">
        <f t="shared" si="0"/>
        <v>Hyper El-Temsah</v>
      </c>
      <c r="C12" s="2">
        <v>70</v>
      </c>
      <c r="D12" s="2">
        <v>66</v>
      </c>
      <c r="E12" s="2" t="s">
        <v>182</v>
      </c>
      <c r="F12" s="2" t="s">
        <v>42</v>
      </c>
      <c r="G12" s="2" t="s">
        <v>50</v>
      </c>
      <c r="H12" s="2" t="s">
        <v>500</v>
      </c>
      <c r="I12" s="2" t="s">
        <v>531</v>
      </c>
      <c r="J12" s="2" t="s">
        <v>498</v>
      </c>
      <c r="K12" s="2" t="s">
        <v>520</v>
      </c>
    </row>
    <row r="13" spans="1:11" hidden="1" x14ac:dyDescent="0.25">
      <c r="A13" s="2" t="s">
        <v>295</v>
      </c>
      <c r="B13" s="2" t="str">
        <f t="shared" si="0"/>
        <v>EMAAR-PKG117- MARASSI</v>
      </c>
      <c r="C13" s="2">
        <v>71</v>
      </c>
      <c r="D13" s="2">
        <v>58</v>
      </c>
      <c r="E13" s="2" t="s">
        <v>296</v>
      </c>
      <c r="F13" s="2" t="s">
        <v>42</v>
      </c>
      <c r="G13" s="2" t="s">
        <v>57</v>
      </c>
      <c r="H13" s="2" t="s">
        <v>496</v>
      </c>
      <c r="I13" s="2" t="s">
        <v>534</v>
      </c>
      <c r="J13" s="2" t="s">
        <v>504</v>
      </c>
      <c r="K13" s="2" t="s">
        <v>503</v>
      </c>
    </row>
    <row r="14" spans="1:11" hidden="1" x14ac:dyDescent="0.25">
      <c r="A14" s="2" t="s">
        <v>254</v>
      </c>
      <c r="B14" s="2" t="str">
        <f t="shared" si="0"/>
        <v>Siemens Power Station</v>
      </c>
      <c r="C14" s="2">
        <v>72</v>
      </c>
      <c r="D14" s="2">
        <v>50</v>
      </c>
      <c r="E14" s="2" t="s">
        <v>255</v>
      </c>
      <c r="F14" s="2" t="s">
        <v>42</v>
      </c>
      <c r="G14" s="2" t="s">
        <v>50</v>
      </c>
      <c r="H14" s="2" t="s">
        <v>510</v>
      </c>
      <c r="I14" s="2" t="s">
        <v>511</v>
      </c>
      <c r="J14" s="2" t="s">
        <v>545</v>
      </c>
      <c r="K14" s="2" t="s">
        <v>503</v>
      </c>
    </row>
    <row r="15" spans="1:11" hidden="1" x14ac:dyDescent="0.25">
      <c r="A15" s="2" t="s">
        <v>192</v>
      </c>
      <c r="B15" s="2" t="str">
        <f t="shared" si="0"/>
        <v>Mohamed Ali Palace Restoration</v>
      </c>
      <c r="C15" s="2">
        <v>78</v>
      </c>
      <c r="D15" s="2">
        <v>33</v>
      </c>
      <c r="E15" s="2" t="s">
        <v>193</v>
      </c>
      <c r="F15" s="2" t="s">
        <v>42</v>
      </c>
      <c r="G15" s="2" t="s">
        <v>95</v>
      </c>
      <c r="H15" s="2" t="s">
        <v>519</v>
      </c>
      <c r="I15" s="2" t="s">
        <v>533</v>
      </c>
      <c r="J15" s="2" t="s">
        <v>498</v>
      </c>
      <c r="K15" s="2" t="s">
        <v>520</v>
      </c>
    </row>
    <row r="16" spans="1:11" hidden="1" x14ac:dyDescent="0.25">
      <c r="A16" s="2" t="s">
        <v>174</v>
      </c>
      <c r="B16" s="2" t="str">
        <f t="shared" si="0"/>
        <v>Fish Market</v>
      </c>
      <c r="C16" s="2">
        <v>80</v>
      </c>
      <c r="D16" s="2">
        <v>65</v>
      </c>
      <c r="E16" s="2" t="s">
        <v>175</v>
      </c>
      <c r="F16" s="2" t="s">
        <v>42</v>
      </c>
      <c r="G16" s="2" t="s">
        <v>50</v>
      </c>
      <c r="H16" s="2" t="s">
        <v>500</v>
      </c>
      <c r="I16" s="2" t="s">
        <v>531</v>
      </c>
      <c r="J16" s="2" t="s">
        <v>498</v>
      </c>
      <c r="K16" s="2" t="s">
        <v>520</v>
      </c>
    </row>
    <row r="17" spans="1:11" hidden="1" x14ac:dyDescent="0.25">
      <c r="A17" s="2" t="s">
        <v>48</v>
      </c>
      <c r="B17" s="2" t="str">
        <f t="shared" si="0"/>
        <v>AL-JAZI EGYPT</v>
      </c>
      <c r="C17" s="2">
        <v>81</v>
      </c>
      <c r="D17" s="2">
        <v>16</v>
      </c>
      <c r="E17" s="2" t="s">
        <v>49</v>
      </c>
      <c r="F17" s="2" t="s">
        <v>42</v>
      </c>
      <c r="G17" s="2" t="s">
        <v>50</v>
      </c>
      <c r="H17" s="2" t="s">
        <v>500</v>
      </c>
      <c r="I17" s="2" t="s">
        <v>501</v>
      </c>
      <c r="J17" s="2" t="s">
        <v>502</v>
      </c>
      <c r="K17" s="2" t="s">
        <v>503</v>
      </c>
    </row>
    <row r="18" spans="1:11" hidden="1" x14ac:dyDescent="0.25">
      <c r="A18" s="2" t="s">
        <v>274</v>
      </c>
      <c r="B18" s="2" t="str">
        <f t="shared" si="0"/>
        <v>TSK Solar Benban</v>
      </c>
      <c r="C18" s="2">
        <v>83</v>
      </c>
      <c r="D18" s="2">
        <v>79</v>
      </c>
      <c r="E18" s="2" t="s">
        <v>275</v>
      </c>
      <c r="F18" s="2" t="s">
        <v>42</v>
      </c>
      <c r="G18" s="2" t="s">
        <v>50</v>
      </c>
      <c r="H18" s="2" t="s">
        <v>510</v>
      </c>
      <c r="I18" s="2" t="s">
        <v>513</v>
      </c>
      <c r="J18" s="2" t="s">
        <v>546</v>
      </c>
      <c r="K18" s="2" t="s">
        <v>503</v>
      </c>
    </row>
    <row r="19" spans="1:11" hidden="1" x14ac:dyDescent="0.25">
      <c r="A19" s="2" t="s">
        <v>258</v>
      </c>
      <c r="B19" s="2" t="str">
        <f t="shared" si="0"/>
        <v>Alamein</v>
      </c>
      <c r="C19" s="2">
        <v>84</v>
      </c>
      <c r="D19" s="2">
        <v>64</v>
      </c>
      <c r="E19" s="2" t="s">
        <v>259</v>
      </c>
      <c r="F19" s="2" t="s">
        <v>42</v>
      </c>
      <c r="G19" s="2" t="s">
        <v>156</v>
      </c>
      <c r="H19" s="2" t="s">
        <v>40</v>
      </c>
      <c r="I19" s="2" t="s">
        <v>40</v>
      </c>
      <c r="J19" s="2" t="s">
        <v>40</v>
      </c>
      <c r="K19" s="2" t="s">
        <v>40</v>
      </c>
    </row>
    <row r="20" spans="1:11" hidden="1" x14ac:dyDescent="0.25">
      <c r="A20" s="2" t="s">
        <v>89</v>
      </c>
      <c r="B20" s="2" t="str">
        <f t="shared" si="0"/>
        <v>Elsewedy Univ - Enabling Works</v>
      </c>
      <c r="C20" s="2">
        <v>85</v>
      </c>
      <c r="D20" s="2">
        <v>53</v>
      </c>
      <c r="E20" s="2" t="s">
        <v>90</v>
      </c>
      <c r="F20" s="2" t="s">
        <v>42</v>
      </c>
      <c r="G20" s="2" t="s">
        <v>57</v>
      </c>
      <c r="H20" s="2" t="s">
        <v>500</v>
      </c>
      <c r="I20" s="2" t="s">
        <v>517</v>
      </c>
      <c r="J20" s="2" t="s">
        <v>515</v>
      </c>
      <c r="K20" s="2" t="s">
        <v>516</v>
      </c>
    </row>
    <row r="21" spans="1:11" hidden="1" x14ac:dyDescent="0.25">
      <c r="A21" s="2" t="s">
        <v>270</v>
      </c>
      <c r="B21" s="2" t="str">
        <f t="shared" si="0"/>
        <v>Lock&amp;Load-30June w Sokhna Rd</v>
      </c>
      <c r="C21" s="2">
        <v>86</v>
      </c>
      <c r="D21" s="2" t="s">
        <v>40</v>
      </c>
      <c r="E21" s="2" t="s">
        <v>271</v>
      </c>
      <c r="F21" s="2" t="s">
        <v>42</v>
      </c>
      <c r="G21" s="2" t="s">
        <v>156</v>
      </c>
      <c r="H21" s="2" t="s">
        <v>496</v>
      </c>
      <c r="I21" s="2" t="s">
        <v>497</v>
      </c>
      <c r="J21" s="2" t="s">
        <v>498</v>
      </c>
      <c r="K21" s="2" t="s">
        <v>520</v>
      </c>
    </row>
    <row r="22" spans="1:11" hidden="1" x14ac:dyDescent="0.25">
      <c r="A22" s="2" t="s">
        <v>194</v>
      </c>
      <c r="B22" s="2" t="str">
        <f t="shared" si="0"/>
        <v>NUCA R05 - Z02</v>
      </c>
      <c r="C22" s="2">
        <v>88</v>
      </c>
      <c r="D22" s="2">
        <v>21</v>
      </c>
      <c r="E22" s="2" t="s">
        <v>195</v>
      </c>
      <c r="F22" s="2" t="s">
        <v>196</v>
      </c>
      <c r="G22" s="2" t="s">
        <v>153</v>
      </c>
      <c r="H22" s="2" t="s">
        <v>521</v>
      </c>
      <c r="I22" s="2" t="s">
        <v>521</v>
      </c>
      <c r="J22" s="2" t="s">
        <v>536</v>
      </c>
      <c r="K22" s="2" t="s">
        <v>526</v>
      </c>
    </row>
    <row r="23" spans="1:11" hidden="1" x14ac:dyDescent="0.25">
      <c r="A23" s="2" t="s">
        <v>278</v>
      </c>
      <c r="B23" s="2" t="str">
        <f t="shared" si="0"/>
        <v>Tunnel of Sokhna Road (2)</v>
      </c>
      <c r="C23" s="2">
        <v>90</v>
      </c>
      <c r="D23" s="2" t="s">
        <v>40</v>
      </c>
      <c r="E23" s="2" t="s">
        <v>279</v>
      </c>
      <c r="F23" s="2" t="s">
        <v>42</v>
      </c>
      <c r="G23" s="2" t="s">
        <v>156</v>
      </c>
      <c r="H23" s="2" t="s">
        <v>496</v>
      </c>
      <c r="I23" s="2" t="s">
        <v>534</v>
      </c>
      <c r="J23" s="2" t="s">
        <v>498</v>
      </c>
      <c r="K23" s="2" t="s">
        <v>499</v>
      </c>
    </row>
    <row r="24" spans="1:11" hidden="1" x14ac:dyDescent="0.25">
      <c r="A24" s="2" t="s">
        <v>70</v>
      </c>
      <c r="B24" s="2" t="str">
        <f t="shared" si="0"/>
        <v>EDNC Retail &amp; Offices Civil</v>
      </c>
      <c r="C24" s="2">
        <v>92</v>
      </c>
      <c r="D24" s="2">
        <v>3</v>
      </c>
      <c r="E24" s="2" t="s">
        <v>71</v>
      </c>
      <c r="F24" s="2" t="s">
        <v>42</v>
      </c>
      <c r="G24" s="2" t="s">
        <v>50</v>
      </c>
      <c r="H24" s="2" t="s">
        <v>500</v>
      </c>
      <c r="I24" s="2" t="s">
        <v>501</v>
      </c>
      <c r="J24" s="2" t="s">
        <v>509</v>
      </c>
      <c r="K24" s="2" t="s">
        <v>503</v>
      </c>
    </row>
    <row r="25" spans="1:11" hidden="1" x14ac:dyDescent="0.25">
      <c r="A25" s="2" t="s">
        <v>242</v>
      </c>
      <c r="B25" s="2" t="str">
        <f t="shared" si="0"/>
        <v>EMAAR-PKG# 144, Marassi</v>
      </c>
      <c r="C25" s="2">
        <v>93</v>
      </c>
      <c r="D25" s="2">
        <v>54</v>
      </c>
      <c r="E25" s="2" t="s">
        <v>243</v>
      </c>
      <c r="F25" s="2" t="s">
        <v>42</v>
      </c>
      <c r="G25" s="2" t="s">
        <v>57</v>
      </c>
      <c r="H25" s="2" t="s">
        <v>500</v>
      </c>
      <c r="I25" s="2" t="s">
        <v>501</v>
      </c>
      <c r="J25" s="2" t="s">
        <v>504</v>
      </c>
      <c r="K25" s="2" t="s">
        <v>503</v>
      </c>
    </row>
    <row r="26" spans="1:11" hidden="1" x14ac:dyDescent="0.25">
      <c r="A26" s="2" t="s">
        <v>65</v>
      </c>
      <c r="B26" s="2" t="str">
        <f t="shared" si="0"/>
        <v>DPW Onshore Port &amp; Terminal</v>
      </c>
      <c r="C26" s="2">
        <v>94</v>
      </c>
      <c r="D26" s="2">
        <v>2</v>
      </c>
      <c r="E26" s="2" t="s">
        <v>66</v>
      </c>
      <c r="F26" s="2" t="s">
        <v>42</v>
      </c>
      <c r="G26" s="2" t="s">
        <v>67</v>
      </c>
      <c r="H26" s="2" t="s">
        <v>496</v>
      </c>
      <c r="I26" s="2" t="s">
        <v>508</v>
      </c>
      <c r="J26" s="2" t="s">
        <v>507</v>
      </c>
      <c r="K26" s="2" t="s">
        <v>503</v>
      </c>
    </row>
    <row r="27" spans="1:11" hidden="1" x14ac:dyDescent="0.25">
      <c r="A27" s="2" t="s">
        <v>272</v>
      </c>
      <c r="B27" s="2" t="str">
        <f t="shared" si="0"/>
        <v>EMAAR-PKG# 101-UPTOWN</v>
      </c>
      <c r="C27" s="2">
        <v>95</v>
      </c>
      <c r="D27" s="2">
        <v>17</v>
      </c>
      <c r="E27" s="2" t="s">
        <v>273</v>
      </c>
      <c r="F27" s="2" t="s">
        <v>42</v>
      </c>
      <c r="G27" s="2" t="s">
        <v>50</v>
      </c>
      <c r="H27" s="2" t="s">
        <v>40</v>
      </c>
      <c r="I27" s="2" t="s">
        <v>40</v>
      </c>
      <c r="J27" s="2" t="s">
        <v>504</v>
      </c>
      <c r="K27" s="2" t="s">
        <v>503</v>
      </c>
    </row>
    <row r="28" spans="1:11" hidden="1" x14ac:dyDescent="0.25">
      <c r="A28" s="2" t="s">
        <v>78</v>
      </c>
      <c r="B28" s="2" t="str">
        <f t="shared" si="0"/>
        <v>EMAAR- Pkg 140-ITP-Mivida</v>
      </c>
      <c r="C28" s="2">
        <v>98</v>
      </c>
      <c r="D28" s="2">
        <v>12</v>
      </c>
      <c r="E28" s="2" t="s">
        <v>79</v>
      </c>
      <c r="F28" s="2" t="s">
        <v>42</v>
      </c>
      <c r="G28" s="2" t="s">
        <v>50</v>
      </c>
      <c r="H28" s="2" t="s">
        <v>496</v>
      </c>
      <c r="I28" s="2" t="s">
        <v>40</v>
      </c>
      <c r="J28" s="2" t="s">
        <v>504</v>
      </c>
      <c r="K28" s="2" t="s">
        <v>503</v>
      </c>
    </row>
    <row r="29" spans="1:11" hidden="1" x14ac:dyDescent="0.25">
      <c r="A29" s="2" t="s">
        <v>197</v>
      </c>
      <c r="B29" s="2" t="str">
        <f t="shared" si="0"/>
        <v>Olympic Multi – Sports Hall</v>
      </c>
      <c r="C29" s="2">
        <v>99</v>
      </c>
      <c r="D29" s="2">
        <v>20</v>
      </c>
      <c r="E29" s="2" t="s">
        <v>198</v>
      </c>
      <c r="F29" s="2" t="s">
        <v>199</v>
      </c>
      <c r="G29" s="2" t="s">
        <v>153</v>
      </c>
      <c r="H29" s="2" t="s">
        <v>500</v>
      </c>
      <c r="I29" s="2" t="s">
        <v>40</v>
      </c>
      <c r="J29" s="2" t="s">
        <v>498</v>
      </c>
      <c r="K29" s="2" t="s">
        <v>520</v>
      </c>
    </row>
    <row r="30" spans="1:11" hidden="1" x14ac:dyDescent="0.25">
      <c r="A30" s="2" t="s">
        <v>316</v>
      </c>
      <c r="B30" s="2" t="str">
        <f t="shared" si="0"/>
        <v>Pyramid tunnel</v>
      </c>
      <c r="C30" s="2">
        <v>101</v>
      </c>
      <c r="D30" s="2">
        <v>74</v>
      </c>
      <c r="E30" s="2" t="s">
        <v>317</v>
      </c>
      <c r="F30" s="2" t="s">
        <v>42</v>
      </c>
      <c r="G30" s="2" t="s">
        <v>156</v>
      </c>
      <c r="H30" s="2" t="s">
        <v>496</v>
      </c>
      <c r="I30" s="2" t="s">
        <v>534</v>
      </c>
      <c r="J30" s="2" t="s">
        <v>40</v>
      </c>
      <c r="K30" s="2" t="s">
        <v>40</v>
      </c>
    </row>
    <row r="31" spans="1:11" x14ac:dyDescent="0.25">
      <c r="A31" s="2" t="s">
        <v>76</v>
      </c>
      <c r="B31" s="2" t="str">
        <f t="shared" si="0"/>
        <v>ELCO STEEL-EGAT</v>
      </c>
      <c r="C31" s="2">
        <v>102</v>
      </c>
      <c r="D31" s="2" t="s">
        <v>40</v>
      </c>
      <c r="E31" s="2" t="s">
        <v>77</v>
      </c>
      <c r="F31" s="2" t="s">
        <v>42</v>
      </c>
      <c r="G31" s="2" t="s">
        <v>67</v>
      </c>
      <c r="H31" s="2" t="s">
        <v>510</v>
      </c>
      <c r="I31" s="2" t="s">
        <v>513</v>
      </c>
      <c r="J31" s="2" t="s">
        <v>512</v>
      </c>
      <c r="K31" s="2" t="s">
        <v>503</v>
      </c>
    </row>
    <row r="32" spans="1:11" hidden="1" x14ac:dyDescent="0.25">
      <c r="A32" s="2" t="s">
        <v>44</v>
      </c>
      <c r="B32" s="2" t="str">
        <f t="shared" si="0"/>
        <v>El Moshier ( Abu Zaid Khedr)</v>
      </c>
      <c r="C32" s="2">
        <v>105</v>
      </c>
      <c r="D32" s="2">
        <v>91</v>
      </c>
      <c r="E32" s="2" t="s">
        <v>45</v>
      </c>
      <c r="F32" s="2" t="s">
        <v>42</v>
      </c>
      <c r="G32" s="2" t="s">
        <v>43</v>
      </c>
      <c r="H32" s="2" t="s">
        <v>496</v>
      </c>
      <c r="I32" s="2" t="s">
        <v>497</v>
      </c>
      <c r="J32" s="2" t="s">
        <v>498</v>
      </c>
      <c r="K32" s="2" t="s">
        <v>520</v>
      </c>
    </row>
    <row r="33" spans="1:11" hidden="1" x14ac:dyDescent="0.25">
      <c r="A33" s="2" t="s">
        <v>293</v>
      </c>
      <c r="B33" s="2" t="str">
        <f t="shared" si="0"/>
        <v>DoubleTree Mangroovy ElGouna</v>
      </c>
      <c r="C33" s="2">
        <v>107</v>
      </c>
      <c r="D33" s="2">
        <v>15</v>
      </c>
      <c r="E33" s="2" t="s">
        <v>294</v>
      </c>
      <c r="F33" s="2" t="s">
        <v>42</v>
      </c>
      <c r="G33" s="2" t="s">
        <v>57</v>
      </c>
      <c r="H33" s="2" t="s">
        <v>500</v>
      </c>
      <c r="I33" s="2" t="s">
        <v>548</v>
      </c>
      <c r="J33" s="2" t="s">
        <v>515</v>
      </c>
      <c r="K33" s="2" t="s">
        <v>516</v>
      </c>
    </row>
    <row r="34" spans="1:11" hidden="1" x14ac:dyDescent="0.25">
      <c r="A34" s="2" t="s">
        <v>248</v>
      </c>
      <c r="B34" s="2" t="str">
        <f t="shared" ref="B34:B65" si="1">TRIM(LEFT(A34,FIND(RIGHT(A34,6),A34)-1))</f>
        <v>HyperOne Zayed Extension</v>
      </c>
      <c r="C34" s="2">
        <v>111</v>
      </c>
      <c r="D34" s="2">
        <v>13</v>
      </c>
      <c r="E34" s="2" t="s">
        <v>249</v>
      </c>
      <c r="F34" s="2" t="s">
        <v>42</v>
      </c>
      <c r="G34" s="2" t="s">
        <v>57</v>
      </c>
      <c r="H34" s="2" t="s">
        <v>500</v>
      </c>
      <c r="I34" s="2" t="s">
        <v>541</v>
      </c>
      <c r="J34" s="2" t="s">
        <v>542</v>
      </c>
      <c r="K34" s="2" t="s">
        <v>503</v>
      </c>
    </row>
    <row r="35" spans="1:11" hidden="1" x14ac:dyDescent="0.25">
      <c r="A35" s="2" t="s">
        <v>91</v>
      </c>
      <c r="B35" s="2" t="str">
        <f t="shared" si="1"/>
        <v>IKEA Extension MoA</v>
      </c>
      <c r="C35" s="2">
        <v>112</v>
      </c>
      <c r="D35" s="2">
        <v>14</v>
      </c>
      <c r="E35" s="2" t="s">
        <v>92</v>
      </c>
      <c r="F35" s="2" t="s">
        <v>42</v>
      </c>
      <c r="G35" s="2" t="s">
        <v>57</v>
      </c>
      <c r="H35" s="2" t="s">
        <v>500</v>
      </c>
      <c r="I35" s="2" t="s">
        <v>501</v>
      </c>
      <c r="J35" s="2" t="s">
        <v>518</v>
      </c>
      <c r="K35" s="2" t="s">
        <v>503</v>
      </c>
    </row>
    <row r="36" spans="1:11" hidden="1" x14ac:dyDescent="0.25">
      <c r="A36" s="2" t="s">
        <v>60</v>
      </c>
      <c r="B36" s="2" t="str">
        <f t="shared" si="1"/>
        <v>CFC Podium 2</v>
      </c>
      <c r="C36" s="2">
        <v>113</v>
      </c>
      <c r="D36" s="2">
        <v>4</v>
      </c>
      <c r="E36" s="2" t="s">
        <v>61</v>
      </c>
      <c r="F36" s="2" t="s">
        <v>42</v>
      </c>
      <c r="G36" s="2" t="s">
        <v>57</v>
      </c>
      <c r="H36" s="2" t="s">
        <v>500</v>
      </c>
      <c r="I36" s="2" t="s">
        <v>501</v>
      </c>
      <c r="J36" s="2" t="s">
        <v>505</v>
      </c>
      <c r="K36" s="2" t="s">
        <v>503</v>
      </c>
    </row>
    <row r="37" spans="1:11" hidden="1" x14ac:dyDescent="0.25">
      <c r="A37" s="2" t="s">
        <v>39</v>
      </c>
      <c r="B37" s="2" t="str">
        <f t="shared" si="1"/>
        <v>ESPIKO Bridge L&amp;L</v>
      </c>
      <c r="C37" s="2">
        <v>116</v>
      </c>
      <c r="D37" s="2" t="s">
        <v>40</v>
      </c>
      <c r="E37" s="2" t="s">
        <v>41</v>
      </c>
      <c r="F37" s="2" t="s">
        <v>42</v>
      </c>
      <c r="G37" s="2" t="s">
        <v>43</v>
      </c>
      <c r="H37" s="2" t="s">
        <v>496</v>
      </c>
      <c r="I37" s="2" t="s">
        <v>497</v>
      </c>
      <c r="J37" s="2" t="s">
        <v>498</v>
      </c>
      <c r="K37" s="2" t="s">
        <v>520</v>
      </c>
    </row>
    <row r="38" spans="1:11" hidden="1" x14ac:dyDescent="0.25">
      <c r="A38" s="2" t="s">
        <v>244</v>
      </c>
      <c r="B38" s="2" t="str">
        <f t="shared" si="1"/>
        <v>ESU Ph2-Enabling &amp; Struc</v>
      </c>
      <c r="C38" s="2">
        <v>119</v>
      </c>
      <c r="D38" s="2">
        <v>10</v>
      </c>
      <c r="E38" s="2" t="s">
        <v>245</v>
      </c>
      <c r="F38" s="2" t="s">
        <v>42</v>
      </c>
      <c r="G38" s="2" t="s">
        <v>57</v>
      </c>
      <c r="H38" s="2" t="s">
        <v>500</v>
      </c>
      <c r="I38" s="2" t="s">
        <v>517</v>
      </c>
      <c r="J38" s="2" t="s">
        <v>515</v>
      </c>
      <c r="K38" s="2" t="s">
        <v>516</v>
      </c>
    </row>
    <row r="39" spans="1:11" hidden="1" x14ac:dyDescent="0.25">
      <c r="A39" s="2" t="s">
        <v>287</v>
      </c>
      <c r="B39" s="2" t="str">
        <f t="shared" si="1"/>
        <v>Mehwar elsalam Lock &amp; Load</v>
      </c>
      <c r="C39" s="2">
        <v>120</v>
      </c>
      <c r="D39" s="2">
        <v>67</v>
      </c>
      <c r="E39" s="2" t="s">
        <v>288</v>
      </c>
      <c r="F39" s="2" t="s">
        <v>42</v>
      </c>
      <c r="G39" s="2" t="s">
        <v>43</v>
      </c>
      <c r="H39" s="2" t="s">
        <v>496</v>
      </c>
      <c r="I39" s="2" t="s">
        <v>497</v>
      </c>
      <c r="J39" s="2" t="s">
        <v>498</v>
      </c>
      <c r="K39" s="2" t="s">
        <v>520</v>
      </c>
    </row>
    <row r="40" spans="1:11" hidden="1" x14ac:dyDescent="0.25">
      <c r="A40" s="2" t="s">
        <v>165</v>
      </c>
      <c r="B40" s="2" t="str">
        <f t="shared" si="1"/>
        <v>EL-Hegaz Square Bridge</v>
      </c>
      <c r="C40" s="2">
        <v>121</v>
      </c>
      <c r="D40" s="2">
        <v>28</v>
      </c>
      <c r="E40" s="2" t="s">
        <v>166</v>
      </c>
      <c r="F40" s="2" t="s">
        <v>167</v>
      </c>
      <c r="G40" s="2" t="s">
        <v>156</v>
      </c>
      <c r="H40" s="2" t="s">
        <v>496</v>
      </c>
      <c r="I40" s="2" t="s">
        <v>534</v>
      </c>
      <c r="J40" s="2" t="s">
        <v>498</v>
      </c>
      <c r="K40" s="2" t="s">
        <v>520</v>
      </c>
    </row>
    <row r="41" spans="1:11" hidden="1" x14ac:dyDescent="0.25">
      <c r="A41" s="2" t="s">
        <v>200</v>
      </c>
      <c r="B41" s="2" t="str">
        <f t="shared" si="1"/>
        <v>RING ROAD MARYOTIA EXPANSION</v>
      </c>
      <c r="C41" s="2">
        <v>122</v>
      </c>
      <c r="D41" s="2">
        <v>26</v>
      </c>
      <c r="E41" s="2" t="s">
        <v>201</v>
      </c>
      <c r="F41" s="2" t="s">
        <v>202</v>
      </c>
      <c r="G41" s="2" t="s">
        <v>156</v>
      </c>
      <c r="H41" s="2" t="s">
        <v>496</v>
      </c>
      <c r="I41" s="2" t="s">
        <v>534</v>
      </c>
      <c r="J41" s="2" t="s">
        <v>537</v>
      </c>
      <c r="K41" s="2" t="s">
        <v>526</v>
      </c>
    </row>
    <row r="42" spans="1:11" hidden="1" x14ac:dyDescent="0.25">
      <c r="A42" s="2" t="s">
        <v>80</v>
      </c>
      <c r="B42" s="2" t="str">
        <f t="shared" si="1"/>
        <v>EMAAR-Pkg#162/163- Marassi</v>
      </c>
      <c r="C42" s="2">
        <v>123</v>
      </c>
      <c r="D42" s="2">
        <v>8</v>
      </c>
      <c r="E42" s="2" t="s">
        <v>81</v>
      </c>
      <c r="F42" s="2" t="s">
        <v>42</v>
      </c>
      <c r="G42" s="2" t="s">
        <v>57</v>
      </c>
      <c r="H42" s="2" t="s">
        <v>496</v>
      </c>
      <c r="I42" s="2" t="s">
        <v>514</v>
      </c>
      <c r="J42" s="2" t="s">
        <v>504</v>
      </c>
      <c r="K42" s="2" t="s">
        <v>503</v>
      </c>
    </row>
    <row r="43" spans="1:11" hidden="1" x14ac:dyDescent="0.25">
      <c r="A43" s="2" t="s">
        <v>203</v>
      </c>
      <c r="B43" s="2" t="str">
        <f t="shared" si="1"/>
        <v>Sultana Malak Restoration</v>
      </c>
      <c r="C43" s="2">
        <v>124</v>
      </c>
      <c r="D43" s="2">
        <v>34</v>
      </c>
      <c r="E43" s="2" t="s">
        <v>204</v>
      </c>
      <c r="F43" s="2" t="s">
        <v>42</v>
      </c>
      <c r="G43" s="2" t="s">
        <v>95</v>
      </c>
      <c r="H43" s="2" t="s">
        <v>519</v>
      </c>
      <c r="I43" s="2" t="s">
        <v>533</v>
      </c>
      <c r="J43" s="2" t="s">
        <v>498</v>
      </c>
      <c r="K43" s="2" t="s">
        <v>520</v>
      </c>
    </row>
    <row r="44" spans="1:11" hidden="1" x14ac:dyDescent="0.25">
      <c r="A44" s="2" t="s">
        <v>250</v>
      </c>
      <c r="B44" s="2" t="str">
        <f t="shared" si="1"/>
        <v>Lekela 250MW Wind Farm</v>
      </c>
      <c r="C44" s="2">
        <v>125</v>
      </c>
      <c r="D44" s="2">
        <v>7</v>
      </c>
      <c r="E44" s="2" t="s">
        <v>251</v>
      </c>
      <c r="F44" s="2" t="s">
        <v>42</v>
      </c>
      <c r="G44" s="2" t="s">
        <v>50</v>
      </c>
      <c r="H44" s="2" t="s">
        <v>510</v>
      </c>
      <c r="I44" s="2" t="s">
        <v>513</v>
      </c>
      <c r="J44" s="2" t="s">
        <v>543</v>
      </c>
      <c r="K44" s="2" t="s">
        <v>503</v>
      </c>
    </row>
    <row r="45" spans="1:11" hidden="1" x14ac:dyDescent="0.25">
      <c r="A45" s="2" t="s">
        <v>106</v>
      </c>
      <c r="B45" s="2" t="str">
        <f t="shared" si="1"/>
        <v>New Giza Teaching Hospital</v>
      </c>
      <c r="C45" s="2">
        <v>126</v>
      </c>
      <c r="D45" s="2">
        <v>110</v>
      </c>
      <c r="E45" s="2" t="s">
        <v>107</v>
      </c>
      <c r="F45" s="2" t="s">
        <v>108</v>
      </c>
      <c r="G45" s="2" t="s">
        <v>98</v>
      </c>
      <c r="H45" s="2" t="s">
        <v>500</v>
      </c>
      <c r="I45" s="2" t="s">
        <v>517</v>
      </c>
      <c r="J45" s="2" t="s">
        <v>524</v>
      </c>
      <c r="K45" s="2" t="s">
        <v>503</v>
      </c>
    </row>
    <row r="46" spans="1:11" hidden="1" x14ac:dyDescent="0.25">
      <c r="A46" s="2" t="s">
        <v>260</v>
      </c>
      <c r="B46" s="2" t="str">
        <f t="shared" si="1"/>
        <v>Kayan Landscape</v>
      </c>
      <c r="C46" s="2">
        <v>127</v>
      </c>
      <c r="D46" s="2">
        <v>25</v>
      </c>
      <c r="E46" s="2" t="s">
        <v>261</v>
      </c>
      <c r="F46" s="2" t="s">
        <v>42</v>
      </c>
      <c r="G46" s="2" t="s">
        <v>153</v>
      </c>
      <c r="H46" s="2" t="s">
        <v>496</v>
      </c>
      <c r="I46" s="2" t="s">
        <v>123</v>
      </c>
      <c r="J46" s="2" t="s">
        <v>498</v>
      </c>
      <c r="K46" s="2" t="s">
        <v>520</v>
      </c>
    </row>
    <row r="47" spans="1:11" hidden="1" x14ac:dyDescent="0.25">
      <c r="A47" s="2" t="s">
        <v>157</v>
      </c>
      <c r="B47" s="2" t="str">
        <f t="shared" si="1"/>
        <v>BridgeNasr Rd w Abbas El-Akkad</v>
      </c>
      <c r="C47" s="2">
        <v>128</v>
      </c>
      <c r="D47" s="2">
        <v>29</v>
      </c>
      <c r="E47" s="2" t="s">
        <v>158</v>
      </c>
      <c r="F47" s="2" t="s">
        <v>42</v>
      </c>
      <c r="G47" s="2" t="s">
        <v>156</v>
      </c>
      <c r="H47" s="2" t="s">
        <v>496</v>
      </c>
      <c r="I47" s="2" t="s">
        <v>534</v>
      </c>
      <c r="J47" s="2" t="s">
        <v>498</v>
      </c>
      <c r="K47" s="2" t="s">
        <v>499</v>
      </c>
    </row>
    <row r="48" spans="1:11" hidden="1" x14ac:dyDescent="0.25">
      <c r="A48" s="2" t="s">
        <v>154</v>
      </c>
      <c r="B48" s="2" t="str">
        <f t="shared" si="1"/>
        <v>Asher Mn Ramadan Bridge No2</v>
      </c>
      <c r="C48" s="2">
        <v>129</v>
      </c>
      <c r="D48" s="2">
        <v>30</v>
      </c>
      <c r="E48" s="2" t="s">
        <v>155</v>
      </c>
      <c r="F48" s="2" t="s">
        <v>42</v>
      </c>
      <c r="G48" s="2" t="s">
        <v>156</v>
      </c>
      <c r="H48" s="2" t="s">
        <v>496</v>
      </c>
      <c r="I48" s="2" t="s">
        <v>534</v>
      </c>
      <c r="J48" s="2" t="s">
        <v>498</v>
      </c>
      <c r="K48" s="2" t="s">
        <v>520</v>
      </c>
    </row>
    <row r="49" spans="1:11" hidden="1" x14ac:dyDescent="0.25">
      <c r="A49" s="2" t="s">
        <v>183</v>
      </c>
      <c r="B49" s="2" t="str">
        <f t="shared" si="1"/>
        <v>Kafr Shokr Bridge</v>
      </c>
      <c r="C49" s="2">
        <v>130</v>
      </c>
      <c r="D49" s="2">
        <v>27</v>
      </c>
      <c r="E49" s="2" t="s">
        <v>184</v>
      </c>
      <c r="F49" s="2" t="s">
        <v>185</v>
      </c>
      <c r="G49" s="2" t="s">
        <v>156</v>
      </c>
      <c r="H49" s="2" t="s">
        <v>496</v>
      </c>
      <c r="I49" s="2" t="s">
        <v>534</v>
      </c>
      <c r="J49" s="2" t="s">
        <v>498</v>
      </c>
      <c r="K49" s="2" t="s">
        <v>520</v>
      </c>
    </row>
    <row r="50" spans="1:11" hidden="1" x14ac:dyDescent="0.25">
      <c r="A50" s="2" t="s">
        <v>176</v>
      </c>
      <c r="B50" s="2" t="str">
        <f t="shared" si="1"/>
        <v>GOV2 - Infra</v>
      </c>
      <c r="C50" s="2">
        <v>133</v>
      </c>
      <c r="D50" s="2">
        <v>22</v>
      </c>
      <c r="E50" s="2" t="s">
        <v>177</v>
      </c>
      <c r="F50" s="2" t="s">
        <v>178</v>
      </c>
      <c r="G50" s="2" t="s">
        <v>318</v>
      </c>
      <c r="H50" s="2" t="s">
        <v>496</v>
      </c>
      <c r="I50" s="2" t="s">
        <v>508</v>
      </c>
      <c r="J50" s="2" t="s">
        <v>536</v>
      </c>
      <c r="K50" s="2" t="s">
        <v>526</v>
      </c>
    </row>
    <row r="51" spans="1:11" hidden="1" x14ac:dyDescent="0.25">
      <c r="A51" s="2" t="s">
        <v>159</v>
      </c>
      <c r="B51" s="2" t="str">
        <f t="shared" si="1"/>
        <v>Cairo-Alex Railway</v>
      </c>
      <c r="C51" s="2">
        <v>134</v>
      </c>
      <c r="D51" s="2">
        <v>18</v>
      </c>
      <c r="E51" s="2" t="s">
        <v>160</v>
      </c>
      <c r="F51" s="2" t="s">
        <v>42</v>
      </c>
      <c r="G51" s="2" t="s">
        <v>161</v>
      </c>
      <c r="H51" s="2" t="s">
        <v>496</v>
      </c>
      <c r="I51" s="2" t="s">
        <v>357</v>
      </c>
      <c r="J51" s="2" t="s">
        <v>535</v>
      </c>
      <c r="K51" s="2" t="s">
        <v>526</v>
      </c>
    </row>
    <row r="52" spans="1:11" hidden="1" x14ac:dyDescent="0.25">
      <c r="A52" s="2" t="s">
        <v>179</v>
      </c>
      <c r="B52" s="2" t="str">
        <f t="shared" si="1"/>
        <v>Hassan El Mamoun Bridge</v>
      </c>
      <c r="C52" s="2">
        <v>135</v>
      </c>
      <c r="D52" s="2">
        <v>32</v>
      </c>
      <c r="E52" s="2" t="s">
        <v>180</v>
      </c>
      <c r="F52" s="2" t="s">
        <v>42</v>
      </c>
      <c r="G52" s="2" t="s">
        <v>156</v>
      </c>
      <c r="H52" s="2" t="s">
        <v>496</v>
      </c>
      <c r="I52" s="2" t="s">
        <v>534</v>
      </c>
      <c r="J52" s="2" t="s">
        <v>498</v>
      </c>
      <c r="K52" s="2" t="s">
        <v>520</v>
      </c>
    </row>
    <row r="53" spans="1:11" hidden="1" x14ac:dyDescent="0.25">
      <c r="A53" s="2" t="s">
        <v>109</v>
      </c>
      <c r="B53" s="2" t="str">
        <f t="shared" si="1"/>
        <v>ORA ZED - Ph 01B - Pkgs A&amp;D</v>
      </c>
      <c r="C53" s="2">
        <v>137</v>
      </c>
      <c r="D53" s="2">
        <v>1</v>
      </c>
      <c r="E53" s="2" t="s">
        <v>110</v>
      </c>
      <c r="F53" s="2" t="s">
        <v>111</v>
      </c>
      <c r="G53" s="2" t="s">
        <v>98</v>
      </c>
      <c r="H53" s="2" t="s">
        <v>521</v>
      </c>
      <c r="I53" s="2" t="s">
        <v>521</v>
      </c>
      <c r="J53" s="2" t="s">
        <v>525</v>
      </c>
      <c r="K53" s="2" t="s">
        <v>503</v>
      </c>
    </row>
    <row r="54" spans="1:11" hidden="1" x14ac:dyDescent="0.25">
      <c r="A54" s="2" t="s">
        <v>96</v>
      </c>
      <c r="B54" s="2" t="str">
        <f t="shared" si="1"/>
        <v>Kattameya Creeks</v>
      </c>
      <c r="C54" s="2">
        <v>138</v>
      </c>
      <c r="D54" s="2">
        <v>6</v>
      </c>
      <c r="E54" s="2" t="s">
        <v>97</v>
      </c>
      <c r="F54" s="2" t="s">
        <v>97</v>
      </c>
      <c r="G54" s="2" t="s">
        <v>98</v>
      </c>
      <c r="H54" s="2" t="s">
        <v>521</v>
      </c>
      <c r="I54" s="2" t="s">
        <v>521</v>
      </c>
      <c r="J54" s="2" t="s">
        <v>522</v>
      </c>
      <c r="K54" s="2" t="s">
        <v>503</v>
      </c>
    </row>
    <row r="55" spans="1:11" hidden="1" x14ac:dyDescent="0.25">
      <c r="A55" s="2" t="s">
        <v>171</v>
      </c>
      <c r="B55" s="2" t="str">
        <f t="shared" si="1"/>
        <v>Faculty of Medicine</v>
      </c>
      <c r="C55" s="2">
        <v>139</v>
      </c>
      <c r="D55" s="2">
        <v>38</v>
      </c>
      <c r="E55" s="2" t="s">
        <v>172</v>
      </c>
      <c r="F55" s="2" t="s">
        <v>173</v>
      </c>
      <c r="G55" s="2" t="s">
        <v>118</v>
      </c>
      <c r="H55" s="2" t="s">
        <v>500</v>
      </c>
      <c r="I55" s="2" t="s">
        <v>517</v>
      </c>
      <c r="J55" s="2" t="s">
        <v>536</v>
      </c>
      <c r="K55" s="2" t="s">
        <v>526</v>
      </c>
    </row>
    <row r="56" spans="1:11" hidden="1" x14ac:dyDescent="0.25">
      <c r="A56" s="2" t="s">
        <v>162</v>
      </c>
      <c r="B56" s="2" t="str">
        <f t="shared" si="1"/>
        <v>Diplomatic District - Infra</v>
      </c>
      <c r="C56" s="2">
        <v>140</v>
      </c>
      <c r="D56" s="2">
        <v>23</v>
      </c>
      <c r="E56" s="2" t="s">
        <v>163</v>
      </c>
      <c r="F56" s="2" t="s">
        <v>164</v>
      </c>
      <c r="G56" s="2" t="s">
        <v>318</v>
      </c>
      <c r="H56" s="2" t="s">
        <v>496</v>
      </c>
      <c r="I56" s="2" t="s">
        <v>508</v>
      </c>
      <c r="J56" s="2" t="s">
        <v>536</v>
      </c>
      <c r="K56" s="2" t="s">
        <v>526</v>
      </c>
    </row>
    <row r="57" spans="1:11" hidden="1" x14ac:dyDescent="0.25">
      <c r="A57" s="2" t="s">
        <v>87</v>
      </c>
      <c r="B57" s="2" t="str">
        <f t="shared" si="1"/>
        <v>ElSewedy HQ Internal Finishing</v>
      </c>
      <c r="C57" s="2">
        <v>141</v>
      </c>
      <c r="D57" s="2">
        <v>5</v>
      </c>
      <c r="E57" s="2" t="s">
        <v>88</v>
      </c>
      <c r="F57" s="2" t="s">
        <v>42</v>
      </c>
      <c r="G57" s="2" t="s">
        <v>57</v>
      </c>
      <c r="H57" s="2" t="s">
        <v>500</v>
      </c>
      <c r="I57" s="2" t="s">
        <v>501</v>
      </c>
      <c r="J57" s="2" t="s">
        <v>515</v>
      </c>
      <c r="K57" s="2" t="s">
        <v>516</v>
      </c>
    </row>
    <row r="58" spans="1:11" hidden="1" x14ac:dyDescent="0.25">
      <c r="A58" s="2" t="s">
        <v>55</v>
      </c>
      <c r="B58" s="2" t="str">
        <f t="shared" si="1"/>
        <v>BKG#178-Lagoon Discharge</v>
      </c>
      <c r="C58" s="2">
        <v>142</v>
      </c>
      <c r="D58" s="2">
        <v>9</v>
      </c>
      <c r="E58" s="2" t="s">
        <v>56</v>
      </c>
      <c r="F58" s="2" t="s">
        <v>42</v>
      </c>
      <c r="G58" s="2" t="s">
        <v>57</v>
      </c>
      <c r="H58" s="2" t="s">
        <v>496</v>
      </c>
      <c r="I58" s="2" t="s">
        <v>40</v>
      </c>
      <c r="J58" s="2" t="s">
        <v>504</v>
      </c>
      <c r="K58" s="2" t="s">
        <v>503</v>
      </c>
    </row>
    <row r="59" spans="1:11" hidden="1" x14ac:dyDescent="0.25">
      <c r="A59" s="2" t="s">
        <v>168</v>
      </c>
      <c r="B59" s="2" t="str">
        <f t="shared" si="1"/>
        <v>El Khatatba Bridge</v>
      </c>
      <c r="C59" s="2">
        <v>143</v>
      </c>
      <c r="D59" s="2">
        <v>37</v>
      </c>
      <c r="E59" s="2" t="s">
        <v>169</v>
      </c>
      <c r="F59" s="2" t="s">
        <v>170</v>
      </c>
      <c r="G59" s="2" t="s">
        <v>156</v>
      </c>
      <c r="H59" s="2" t="s">
        <v>496</v>
      </c>
      <c r="I59" s="2" t="s">
        <v>534</v>
      </c>
      <c r="J59" s="2" t="s">
        <v>537</v>
      </c>
      <c r="K59" s="2" t="s">
        <v>526</v>
      </c>
    </row>
    <row r="60" spans="1:11" x14ac:dyDescent="0.25">
      <c r="A60" s="2" t="s">
        <v>74</v>
      </c>
      <c r="B60" s="2" t="str">
        <f t="shared" si="1"/>
        <v>EGAT Pelletizing Plant</v>
      </c>
      <c r="C60" s="2">
        <v>144</v>
      </c>
      <c r="D60" s="2">
        <v>39</v>
      </c>
      <c r="E60" s="2" t="s">
        <v>75</v>
      </c>
      <c r="F60" s="2" t="s">
        <v>42</v>
      </c>
      <c r="G60" s="2" t="s">
        <v>67</v>
      </c>
      <c r="H60" s="2" t="s">
        <v>510</v>
      </c>
      <c r="I60" s="2" t="s">
        <v>511</v>
      </c>
      <c r="J60" s="2" t="s">
        <v>512</v>
      </c>
      <c r="K60" s="2" t="s">
        <v>503</v>
      </c>
    </row>
    <row r="61" spans="1:11" hidden="1" x14ac:dyDescent="0.25">
      <c r="A61" s="2" t="s">
        <v>136</v>
      </c>
      <c r="B61" s="2" t="str">
        <f t="shared" si="1"/>
        <v>Sokhna Port Expansion</v>
      </c>
      <c r="C61" s="2">
        <v>145</v>
      </c>
      <c r="D61" s="2">
        <v>42</v>
      </c>
      <c r="E61" s="2" t="s">
        <v>137</v>
      </c>
      <c r="F61" s="2" t="s">
        <v>138</v>
      </c>
      <c r="G61" s="2" t="s">
        <v>67</v>
      </c>
      <c r="H61" s="2" t="s">
        <v>496</v>
      </c>
      <c r="I61" s="2" t="s">
        <v>514</v>
      </c>
      <c r="J61" s="2" t="s">
        <v>530</v>
      </c>
      <c r="K61" s="2" t="s">
        <v>526</v>
      </c>
    </row>
    <row r="62" spans="1:11" hidden="1" x14ac:dyDescent="0.25">
      <c r="A62" s="2" t="s">
        <v>144</v>
      </c>
      <c r="B62" s="2" t="str">
        <f t="shared" si="1"/>
        <v>Waldorf Astoria Mock-up Room</v>
      </c>
      <c r="C62" s="2">
        <v>146</v>
      </c>
      <c r="D62" s="2">
        <v>44</v>
      </c>
      <c r="E62" s="2" t="s">
        <v>145</v>
      </c>
      <c r="F62" s="2" t="s">
        <v>42</v>
      </c>
      <c r="G62" s="2" t="s">
        <v>95</v>
      </c>
      <c r="H62" s="2" t="s">
        <v>519</v>
      </c>
      <c r="I62" s="2" t="s">
        <v>533</v>
      </c>
      <c r="J62" s="2" t="s">
        <v>498</v>
      </c>
      <c r="K62" s="2" t="s">
        <v>520</v>
      </c>
    </row>
    <row r="63" spans="1:11" hidden="1" x14ac:dyDescent="0.25">
      <c r="A63" s="2" t="s">
        <v>101</v>
      </c>
      <c r="B63" s="2" t="str">
        <f t="shared" si="1"/>
        <v>MDF Factory</v>
      </c>
      <c r="C63" s="2">
        <v>147</v>
      </c>
      <c r="D63" s="2">
        <v>40</v>
      </c>
      <c r="E63" s="2" t="s">
        <v>102</v>
      </c>
      <c r="F63" s="2" t="s">
        <v>102</v>
      </c>
      <c r="G63" s="2" t="s">
        <v>67</v>
      </c>
      <c r="H63" s="2" t="s">
        <v>510</v>
      </c>
      <c r="I63" s="2" t="s">
        <v>511</v>
      </c>
      <c r="J63" s="2" t="s">
        <v>523</v>
      </c>
      <c r="K63" s="2" t="s">
        <v>503</v>
      </c>
    </row>
    <row r="64" spans="1:11" hidden="1" x14ac:dyDescent="0.25">
      <c r="A64" s="2" t="s">
        <v>119</v>
      </c>
      <c r="B64" s="2" t="str">
        <f t="shared" si="1"/>
        <v>Olympic City Lock&amp;Load</v>
      </c>
      <c r="C64" s="2">
        <v>148</v>
      </c>
      <c r="D64" s="2">
        <v>45</v>
      </c>
      <c r="E64" s="2" t="s">
        <v>120</v>
      </c>
      <c r="F64" s="2" t="s">
        <v>42</v>
      </c>
      <c r="G64" s="2" t="s">
        <v>43</v>
      </c>
      <c r="H64" s="2" t="s">
        <v>496</v>
      </c>
      <c r="I64" s="2" t="s">
        <v>497</v>
      </c>
      <c r="J64" s="2" t="s">
        <v>498</v>
      </c>
      <c r="K64" s="2" t="s">
        <v>520</v>
      </c>
    </row>
    <row r="65" spans="1:11" hidden="1" x14ac:dyDescent="0.25">
      <c r="A65" s="2" t="s">
        <v>186</v>
      </c>
      <c r="B65" s="2" t="str">
        <f t="shared" si="1"/>
        <v>Kemet Building</v>
      </c>
      <c r="C65" s="2">
        <v>149</v>
      </c>
      <c r="D65" s="2">
        <v>41</v>
      </c>
      <c r="E65" s="2" t="s">
        <v>187</v>
      </c>
      <c r="F65" s="2" t="s">
        <v>42</v>
      </c>
      <c r="G65" s="2" t="s">
        <v>188</v>
      </c>
      <c r="H65" s="2" t="s">
        <v>500</v>
      </c>
      <c r="I65" s="2" t="s">
        <v>501</v>
      </c>
      <c r="J65" s="2" t="s">
        <v>538</v>
      </c>
      <c r="K65" s="2" t="s">
        <v>503</v>
      </c>
    </row>
    <row r="66" spans="1:11" hidden="1" x14ac:dyDescent="0.25">
      <c r="A66" s="2" t="s">
        <v>150</v>
      </c>
      <c r="B66" s="2" t="str">
        <f t="shared" ref="B66:B97" si="2">TRIM(LEFT(A66,FIND(RIGHT(A66,6),A66)-1))</f>
        <v>Air Defense College</v>
      </c>
      <c r="C66" s="2">
        <v>150</v>
      </c>
      <c r="D66" s="2">
        <v>46</v>
      </c>
      <c r="E66" s="2" t="s">
        <v>151</v>
      </c>
      <c r="F66" s="2" t="s">
        <v>152</v>
      </c>
      <c r="G66" s="2" t="s">
        <v>153</v>
      </c>
      <c r="H66" s="2" t="s">
        <v>500</v>
      </c>
      <c r="I66" s="2" t="s">
        <v>40</v>
      </c>
      <c r="J66" s="2" t="s">
        <v>498</v>
      </c>
      <c r="K66" s="2" t="s">
        <v>520</v>
      </c>
    </row>
    <row r="67" spans="1:11" hidden="1" x14ac:dyDescent="0.25">
      <c r="A67" s="2" t="s">
        <v>112</v>
      </c>
      <c r="B67" s="2" t="str">
        <f t="shared" si="2"/>
        <v>ORA ZED-Ph 2-Pkgs A&amp;D</v>
      </c>
      <c r="C67" s="2">
        <v>151</v>
      </c>
      <c r="D67" s="2">
        <v>47</v>
      </c>
      <c r="E67" s="2" t="s">
        <v>113</v>
      </c>
      <c r="F67" s="2" t="s">
        <v>114</v>
      </c>
      <c r="G67" s="2" t="s">
        <v>98</v>
      </c>
      <c r="H67" s="2" t="s">
        <v>521</v>
      </c>
      <c r="I67" s="2" t="s">
        <v>521</v>
      </c>
      <c r="J67" s="2" t="s">
        <v>525</v>
      </c>
      <c r="K67" s="2" t="s">
        <v>503</v>
      </c>
    </row>
    <row r="68" spans="1:11" hidden="1" x14ac:dyDescent="0.25">
      <c r="A68" s="2" t="s">
        <v>219</v>
      </c>
      <c r="B68" s="2" t="str">
        <f t="shared" si="2"/>
        <v>HST Bridges-Sokhna &amp; Mahager</v>
      </c>
      <c r="C68" s="2">
        <v>152</v>
      </c>
      <c r="D68" s="2">
        <v>48</v>
      </c>
      <c r="E68" s="2" t="s">
        <v>220</v>
      </c>
      <c r="F68" s="2" t="s">
        <v>221</v>
      </c>
      <c r="G68" s="2" t="s">
        <v>156</v>
      </c>
      <c r="H68" s="2" t="s">
        <v>496</v>
      </c>
      <c r="I68" s="2" t="s">
        <v>534</v>
      </c>
      <c r="J68" s="2" t="s">
        <v>498</v>
      </c>
      <c r="K68" s="2" t="s">
        <v>520</v>
      </c>
    </row>
    <row r="69" spans="1:11" hidden="1" x14ac:dyDescent="0.25">
      <c r="A69" s="2" t="s">
        <v>228</v>
      </c>
      <c r="B69" s="2" t="str">
        <f t="shared" si="2"/>
        <v>October Dry Port Railway</v>
      </c>
      <c r="C69" s="2">
        <v>153</v>
      </c>
      <c r="D69" s="2">
        <v>49</v>
      </c>
      <c r="E69" s="2" t="s">
        <v>229</v>
      </c>
      <c r="F69" s="2" t="s">
        <v>42</v>
      </c>
      <c r="G69" s="2" t="s">
        <v>161</v>
      </c>
      <c r="H69" s="2" t="s">
        <v>496</v>
      </c>
      <c r="I69" s="2" t="s">
        <v>514</v>
      </c>
      <c r="J69" s="2" t="s">
        <v>40</v>
      </c>
      <c r="K69" s="2" t="s">
        <v>503</v>
      </c>
    </row>
    <row r="70" spans="1:11" hidden="1" x14ac:dyDescent="0.25">
      <c r="A70" s="2" t="s">
        <v>240</v>
      </c>
      <c r="B70" s="2" t="str">
        <f t="shared" si="2"/>
        <v>Alfa New Central Labs</v>
      </c>
      <c r="C70" s="2">
        <v>154</v>
      </c>
      <c r="D70" s="2">
        <v>94</v>
      </c>
      <c r="E70" s="2" t="s">
        <v>241</v>
      </c>
      <c r="F70" s="2" t="s">
        <v>42</v>
      </c>
      <c r="G70" s="2" t="s">
        <v>57</v>
      </c>
      <c r="H70" s="2" t="s">
        <v>40</v>
      </c>
      <c r="I70" s="2" t="s">
        <v>40</v>
      </c>
      <c r="J70" s="2" t="s">
        <v>40</v>
      </c>
      <c r="K70" s="2" t="s">
        <v>503</v>
      </c>
    </row>
    <row r="71" spans="1:11" hidden="1" x14ac:dyDescent="0.25">
      <c r="A71" s="2" t="s">
        <v>127</v>
      </c>
      <c r="B71" s="2" t="str">
        <f t="shared" si="2"/>
        <v>R06 Loack &amp; Load</v>
      </c>
      <c r="C71" s="2">
        <v>155</v>
      </c>
      <c r="D71" s="2">
        <v>95</v>
      </c>
      <c r="E71" s="2" t="s">
        <v>128</v>
      </c>
      <c r="F71" s="2" t="s">
        <v>42</v>
      </c>
      <c r="G71" s="2" t="s">
        <v>43</v>
      </c>
      <c r="H71" s="2" t="s">
        <v>496</v>
      </c>
      <c r="I71" s="2" t="s">
        <v>497</v>
      </c>
      <c r="J71" s="2" t="s">
        <v>527</v>
      </c>
      <c r="K71" s="2" t="s">
        <v>526</v>
      </c>
    </row>
    <row r="72" spans="1:11" hidden="1" x14ac:dyDescent="0.25">
      <c r="A72" s="2" t="s">
        <v>146</v>
      </c>
      <c r="B72" s="2" t="str">
        <f t="shared" si="2"/>
        <v>Waslet Om Amar Bridge</v>
      </c>
      <c r="C72" s="2">
        <v>156</v>
      </c>
      <c r="D72" s="2">
        <v>96</v>
      </c>
      <c r="E72" s="2" t="s">
        <v>147</v>
      </c>
      <c r="F72" s="2" t="s">
        <v>42</v>
      </c>
      <c r="G72" s="2" t="s">
        <v>43</v>
      </c>
      <c r="H72" s="2" t="s">
        <v>496</v>
      </c>
      <c r="I72" s="2" t="s">
        <v>534</v>
      </c>
      <c r="J72" s="2" t="s">
        <v>40</v>
      </c>
      <c r="K72" s="2" t="s">
        <v>40</v>
      </c>
    </row>
    <row r="73" spans="1:11" hidden="1" x14ac:dyDescent="0.25">
      <c r="A73" s="2" t="s">
        <v>208</v>
      </c>
      <c r="B73" s="2" t="str">
        <f t="shared" si="2"/>
        <v>Abou Ghaleb Bridge</v>
      </c>
      <c r="C73" s="2">
        <v>157</v>
      </c>
      <c r="D73" s="2">
        <v>102</v>
      </c>
      <c r="E73" s="2" t="s">
        <v>209</v>
      </c>
      <c r="F73" s="2" t="s">
        <v>210</v>
      </c>
      <c r="G73" s="2" t="s">
        <v>156</v>
      </c>
      <c r="H73" s="2" t="s">
        <v>496</v>
      </c>
      <c r="I73" s="2" t="s">
        <v>534</v>
      </c>
      <c r="J73" s="2" t="s">
        <v>498</v>
      </c>
      <c r="K73" s="2" t="s">
        <v>520</v>
      </c>
    </row>
    <row r="74" spans="1:11" hidden="1" x14ac:dyDescent="0.25">
      <c r="A74" s="2" t="s">
        <v>214</v>
      </c>
      <c r="B74" s="2" t="str">
        <f t="shared" si="2"/>
        <v>Egyptian Exchange Building</v>
      </c>
      <c r="C74" s="2">
        <v>158</v>
      </c>
      <c r="D74" s="2">
        <v>97</v>
      </c>
      <c r="E74" s="2" t="s">
        <v>215</v>
      </c>
      <c r="F74" s="2" t="s">
        <v>216</v>
      </c>
      <c r="G74" s="2" t="s">
        <v>188</v>
      </c>
      <c r="H74" s="2" t="s">
        <v>500</v>
      </c>
      <c r="I74" s="2" t="s">
        <v>40</v>
      </c>
      <c r="J74" s="2" t="s">
        <v>498</v>
      </c>
      <c r="K74" s="2" t="s">
        <v>520</v>
      </c>
    </row>
    <row r="75" spans="1:11" hidden="1" x14ac:dyDescent="0.25">
      <c r="A75" s="2" t="s">
        <v>124</v>
      </c>
      <c r="B75" s="2" t="str">
        <f t="shared" si="2"/>
        <v>Port Said Port Silos</v>
      </c>
      <c r="C75" s="2">
        <v>159</v>
      </c>
      <c r="D75" s="2">
        <v>98</v>
      </c>
      <c r="E75" s="2" t="s">
        <v>125</v>
      </c>
      <c r="F75" s="2" t="s">
        <v>126</v>
      </c>
      <c r="G75" s="2" t="s">
        <v>67</v>
      </c>
      <c r="H75" s="2" t="s">
        <v>510</v>
      </c>
      <c r="I75" s="2" t="s">
        <v>126</v>
      </c>
      <c r="J75" s="2" t="s">
        <v>527</v>
      </c>
      <c r="K75" s="2" t="s">
        <v>526</v>
      </c>
    </row>
    <row r="76" spans="1:11" hidden="1" x14ac:dyDescent="0.25">
      <c r="A76" s="2" t="s">
        <v>205</v>
      </c>
      <c r="B76" s="2" t="str">
        <f t="shared" si="2"/>
        <v>The Open Channel Project</v>
      </c>
      <c r="C76" s="2">
        <v>160</v>
      </c>
      <c r="D76" s="2">
        <v>99</v>
      </c>
      <c r="E76" s="2" t="s">
        <v>206</v>
      </c>
      <c r="F76" s="2" t="s">
        <v>207</v>
      </c>
      <c r="G76" s="2" t="s">
        <v>153</v>
      </c>
      <c r="H76" s="2" t="s">
        <v>496</v>
      </c>
      <c r="I76" s="2" t="s">
        <v>207</v>
      </c>
      <c r="J76" s="2" t="s">
        <v>498</v>
      </c>
      <c r="K76" s="2" t="s">
        <v>520</v>
      </c>
    </row>
    <row r="77" spans="1:11" hidden="1" x14ac:dyDescent="0.25">
      <c r="A77" s="2" t="s">
        <v>252</v>
      </c>
      <c r="B77" s="2" t="str">
        <f t="shared" si="2"/>
        <v>Ras El Teen Hangar</v>
      </c>
      <c r="C77" s="2">
        <v>161</v>
      </c>
      <c r="D77" s="2">
        <v>100</v>
      </c>
      <c r="E77" s="2" t="s">
        <v>253</v>
      </c>
      <c r="F77" s="2" t="s">
        <v>42</v>
      </c>
      <c r="G77" s="2" t="s">
        <v>57</v>
      </c>
      <c r="H77" s="2" t="s">
        <v>510</v>
      </c>
      <c r="I77" s="2" t="s">
        <v>544</v>
      </c>
      <c r="J77" s="2" t="s">
        <v>40</v>
      </c>
      <c r="K77" s="2" t="s">
        <v>503</v>
      </c>
    </row>
    <row r="78" spans="1:11" hidden="1" x14ac:dyDescent="0.25">
      <c r="A78" s="2" t="s">
        <v>51</v>
      </c>
      <c r="B78" s="2" t="str">
        <f t="shared" si="2"/>
        <v>Asmarat Roads L&amp;L</v>
      </c>
      <c r="C78" s="2">
        <v>162</v>
      </c>
      <c r="D78" s="2">
        <v>103</v>
      </c>
      <c r="E78" s="2" t="s">
        <v>52</v>
      </c>
      <c r="F78" s="2" t="s">
        <v>42</v>
      </c>
      <c r="G78" s="2" t="s">
        <v>43</v>
      </c>
      <c r="H78" s="2" t="s">
        <v>496</v>
      </c>
      <c r="I78" s="2" t="s">
        <v>497</v>
      </c>
      <c r="J78" s="2" t="s">
        <v>40</v>
      </c>
      <c r="K78" s="2" t="s">
        <v>40</v>
      </c>
    </row>
    <row r="79" spans="1:11" hidden="1" x14ac:dyDescent="0.25">
      <c r="A79" s="2" t="s">
        <v>142</v>
      </c>
      <c r="B79" s="2" t="str">
        <f t="shared" si="2"/>
        <v>Waldorf Astoria Cairo</v>
      </c>
      <c r="C79" s="2">
        <v>164</v>
      </c>
      <c r="D79" s="2">
        <v>105</v>
      </c>
      <c r="E79" s="2" t="s">
        <v>143</v>
      </c>
      <c r="F79" s="2" t="s">
        <v>143</v>
      </c>
      <c r="G79" s="2" t="s">
        <v>320</v>
      </c>
      <c r="H79" s="2" t="s">
        <v>500</v>
      </c>
      <c r="I79" s="2" t="s">
        <v>320</v>
      </c>
      <c r="J79" s="2" t="s">
        <v>532</v>
      </c>
      <c r="K79" s="2" t="s">
        <v>503</v>
      </c>
    </row>
    <row r="80" spans="1:11" hidden="1" x14ac:dyDescent="0.25">
      <c r="A80" s="2" t="s">
        <v>262</v>
      </c>
      <c r="B80" s="2" t="str">
        <f t="shared" si="2"/>
        <v>King Mariout  Bridge'</v>
      </c>
      <c r="C80" s="2">
        <v>165</v>
      </c>
      <c r="D80" s="2">
        <v>106</v>
      </c>
      <c r="E80" s="2" t="s">
        <v>263</v>
      </c>
      <c r="F80" s="2" t="s">
        <v>42</v>
      </c>
      <c r="G80" s="2" t="s">
        <v>156</v>
      </c>
      <c r="H80" s="2" t="s">
        <v>496</v>
      </c>
      <c r="I80" s="2" t="s">
        <v>534</v>
      </c>
      <c r="J80" s="2" t="s">
        <v>498</v>
      </c>
      <c r="K80" s="2" t="s">
        <v>520</v>
      </c>
    </row>
    <row r="81" spans="1:11" hidden="1" x14ac:dyDescent="0.25">
      <c r="A81" s="2" t="s">
        <v>211</v>
      </c>
      <c r="B81" s="2" t="str">
        <f t="shared" si="2"/>
        <v>Alamein Coastal Road Bridge</v>
      </c>
      <c r="C81" s="2">
        <v>166</v>
      </c>
      <c r="D81" s="2">
        <v>107</v>
      </c>
      <c r="E81" s="2" t="s">
        <v>212</v>
      </c>
      <c r="F81" s="2" t="s">
        <v>213</v>
      </c>
      <c r="G81" s="2" t="s">
        <v>156</v>
      </c>
      <c r="H81" s="2" t="s">
        <v>496</v>
      </c>
      <c r="I81" s="2" t="s">
        <v>539</v>
      </c>
      <c r="J81" s="2" t="s">
        <v>498</v>
      </c>
      <c r="K81" s="2" t="s">
        <v>520</v>
      </c>
    </row>
    <row r="82" spans="1:11" hidden="1" x14ac:dyDescent="0.25">
      <c r="A82" s="2" t="s">
        <v>232</v>
      </c>
      <c r="B82" s="2" t="str">
        <f t="shared" si="2"/>
        <v>Wady El Natroon Bridge</v>
      </c>
      <c r="C82" s="2">
        <v>167</v>
      </c>
      <c r="D82" s="2">
        <v>108</v>
      </c>
      <c r="E82" s="2" t="s">
        <v>233</v>
      </c>
      <c r="F82" s="2" t="s">
        <v>234</v>
      </c>
      <c r="G82" s="2" t="s">
        <v>156</v>
      </c>
      <c r="H82" s="2" t="s">
        <v>496</v>
      </c>
      <c r="I82" s="2" t="s">
        <v>534</v>
      </c>
      <c r="J82" s="2" t="s">
        <v>498</v>
      </c>
      <c r="K82" s="2" t="s">
        <v>520</v>
      </c>
    </row>
    <row r="83" spans="1:11" hidden="1" x14ac:dyDescent="0.25">
      <c r="A83" s="2" t="s">
        <v>225</v>
      </c>
      <c r="B83" s="2" t="str">
        <f t="shared" si="2"/>
        <v>HST El Mahager Bridge</v>
      </c>
      <c r="C83" s="2">
        <v>168</v>
      </c>
      <c r="D83" s="2">
        <v>109</v>
      </c>
      <c r="E83" s="2" t="s">
        <v>226</v>
      </c>
      <c r="F83" s="2" t="s">
        <v>227</v>
      </c>
      <c r="G83" s="2" t="s">
        <v>156</v>
      </c>
      <c r="H83" s="2" t="s">
        <v>496</v>
      </c>
      <c r="I83" s="2" t="s">
        <v>534</v>
      </c>
      <c r="J83" s="2" t="s">
        <v>498</v>
      </c>
      <c r="K83" s="2" t="s">
        <v>520</v>
      </c>
    </row>
    <row r="84" spans="1:11" hidden="1" x14ac:dyDescent="0.25">
      <c r="A84" s="2" t="s">
        <v>222</v>
      </c>
      <c r="B84" s="2" t="str">
        <f t="shared" si="2"/>
        <v>HST Culverts</v>
      </c>
      <c r="C84" s="2">
        <v>169</v>
      </c>
      <c r="D84" s="2">
        <v>114</v>
      </c>
      <c r="E84" s="2" t="s">
        <v>223</v>
      </c>
      <c r="F84" s="2" t="s">
        <v>224</v>
      </c>
      <c r="G84" s="2" t="s">
        <v>156</v>
      </c>
      <c r="H84" s="2" t="s">
        <v>496</v>
      </c>
      <c r="I84" s="2" t="s">
        <v>534</v>
      </c>
      <c r="J84" s="2" t="s">
        <v>498</v>
      </c>
      <c r="K84" s="2" t="s">
        <v>520</v>
      </c>
    </row>
    <row r="85" spans="1:11" hidden="1" x14ac:dyDescent="0.25">
      <c r="A85" s="2" t="s">
        <v>103</v>
      </c>
      <c r="B85" s="2" t="str">
        <f t="shared" si="2"/>
        <v>Mivida BP#189</v>
      </c>
      <c r="C85" s="2">
        <v>170</v>
      </c>
      <c r="D85" s="2">
        <v>113</v>
      </c>
      <c r="E85" s="2" t="s">
        <v>104</v>
      </c>
      <c r="F85" s="2" t="s">
        <v>105</v>
      </c>
      <c r="G85" s="2" t="s">
        <v>98</v>
      </c>
      <c r="H85" s="2" t="s">
        <v>521</v>
      </c>
      <c r="I85" s="2" t="s">
        <v>40</v>
      </c>
      <c r="J85" s="2" t="s">
        <v>504</v>
      </c>
      <c r="K85" s="2" t="s">
        <v>503</v>
      </c>
    </row>
    <row r="86" spans="1:11" hidden="1" x14ac:dyDescent="0.25">
      <c r="A86" s="2" t="s">
        <v>68</v>
      </c>
      <c r="B86" s="2" t="str">
        <f t="shared" si="2"/>
        <v>EDNC Hardscape Package</v>
      </c>
      <c r="C86" s="2">
        <v>171</v>
      </c>
      <c r="D86" s="2">
        <v>115</v>
      </c>
      <c r="E86" s="2" t="s">
        <v>69</v>
      </c>
      <c r="F86" s="2" t="s">
        <v>42</v>
      </c>
      <c r="G86" s="2" t="s">
        <v>50</v>
      </c>
      <c r="H86" s="2" t="s">
        <v>496</v>
      </c>
      <c r="I86" s="2" t="s">
        <v>123</v>
      </c>
      <c r="J86" s="2" t="s">
        <v>40</v>
      </c>
      <c r="K86" s="2" t="s">
        <v>40</v>
      </c>
    </row>
    <row r="87" spans="1:11" x14ac:dyDescent="0.25">
      <c r="A87" s="2" t="s">
        <v>85</v>
      </c>
      <c r="B87" s="2" t="str">
        <f t="shared" si="2"/>
        <v>Egat Rolling Mill no.4</v>
      </c>
      <c r="C87" s="2">
        <v>172</v>
      </c>
      <c r="D87" s="2">
        <v>112</v>
      </c>
      <c r="E87" s="2" t="s">
        <v>86</v>
      </c>
      <c r="F87" s="2" t="s">
        <v>42</v>
      </c>
      <c r="G87" s="2" t="s">
        <v>67</v>
      </c>
      <c r="H87" s="2" t="s">
        <v>510</v>
      </c>
      <c r="I87" s="2" t="s">
        <v>511</v>
      </c>
      <c r="J87" s="2" t="s">
        <v>477</v>
      </c>
      <c r="K87" s="2" t="s">
        <v>503</v>
      </c>
    </row>
    <row r="88" spans="1:11" x14ac:dyDescent="0.25">
      <c r="A88" s="2" t="s">
        <v>72</v>
      </c>
      <c r="B88" s="2" t="str">
        <f t="shared" si="2"/>
        <v>EGAT Lock &amp; Load</v>
      </c>
      <c r="C88" s="2">
        <v>173</v>
      </c>
      <c r="D88" s="2">
        <v>111</v>
      </c>
      <c r="E88" s="2" t="s">
        <v>73</v>
      </c>
      <c r="F88" s="2" t="s">
        <v>42</v>
      </c>
      <c r="G88" s="2" t="s">
        <v>67</v>
      </c>
      <c r="H88" s="2" t="s">
        <v>510</v>
      </c>
      <c r="I88" s="2" t="s">
        <v>497</v>
      </c>
      <c r="J88" s="2" t="s">
        <v>477</v>
      </c>
      <c r="K88" s="2" t="s">
        <v>40</v>
      </c>
    </row>
    <row r="89" spans="1:11" hidden="1" x14ac:dyDescent="0.25">
      <c r="A89" s="2" t="s">
        <v>230</v>
      </c>
      <c r="B89" s="2" t="str">
        <f t="shared" si="2"/>
        <v>Qani bay Al rammah Mosque</v>
      </c>
      <c r="C89" s="2">
        <v>174</v>
      </c>
      <c r="D89" s="2">
        <v>116</v>
      </c>
      <c r="E89" s="2" t="s">
        <v>231</v>
      </c>
      <c r="F89" s="2" t="s">
        <v>42</v>
      </c>
      <c r="G89" s="2" t="s">
        <v>95</v>
      </c>
      <c r="H89" s="2" t="s">
        <v>519</v>
      </c>
      <c r="I89" s="2" t="s">
        <v>540</v>
      </c>
      <c r="J89" s="2" t="s">
        <v>498</v>
      </c>
      <c r="K89" s="2" t="s">
        <v>520</v>
      </c>
    </row>
    <row r="90" spans="1:11" hidden="1" x14ac:dyDescent="0.25">
      <c r="A90" s="2" t="s">
        <v>115</v>
      </c>
      <c r="B90" s="2" t="str">
        <f t="shared" si="2"/>
        <v>October Under-Railway Tunnel</v>
      </c>
      <c r="C90" s="2">
        <v>175</v>
      </c>
      <c r="D90" s="2">
        <v>117</v>
      </c>
      <c r="E90" s="2" t="s">
        <v>116</v>
      </c>
      <c r="F90" s="2" t="s">
        <v>117</v>
      </c>
      <c r="G90" s="2" t="s">
        <v>118</v>
      </c>
      <c r="H90" s="2" t="s">
        <v>496</v>
      </c>
      <c r="I90" s="2" t="s">
        <v>534</v>
      </c>
      <c r="J90" s="2" t="s">
        <v>527</v>
      </c>
      <c r="K90" s="2" t="s">
        <v>526</v>
      </c>
    </row>
    <row r="91" spans="1:11" hidden="1" x14ac:dyDescent="0.25">
      <c r="A91" s="2" t="s">
        <v>129</v>
      </c>
      <c r="B91" s="2" t="str">
        <f t="shared" si="2"/>
        <v>Radamis City</v>
      </c>
      <c r="C91" s="2">
        <v>176</v>
      </c>
      <c r="D91" s="2">
        <v>118</v>
      </c>
      <c r="E91" s="2" t="s">
        <v>130</v>
      </c>
      <c r="F91" s="2" t="s">
        <v>131</v>
      </c>
      <c r="G91" s="2" t="s">
        <v>57</v>
      </c>
      <c r="H91" s="2" t="s">
        <v>500</v>
      </c>
      <c r="I91" s="2" t="s">
        <v>320</v>
      </c>
      <c r="J91" s="2" t="s">
        <v>356</v>
      </c>
      <c r="K91" s="2" t="s">
        <v>503</v>
      </c>
    </row>
    <row r="92" spans="1:11" hidden="1" x14ac:dyDescent="0.25">
      <c r="A92" s="2" t="s">
        <v>148</v>
      </c>
      <c r="B92" s="2" t="str">
        <f t="shared" si="2"/>
        <v>SODIC Allegria Villa f100</v>
      </c>
      <c r="C92" s="2">
        <v>177</v>
      </c>
      <c r="D92" s="2">
        <v>122</v>
      </c>
      <c r="E92" s="2" t="s">
        <v>149</v>
      </c>
      <c r="F92" s="2" t="s">
        <v>42</v>
      </c>
      <c r="G92" s="2" t="s">
        <v>57</v>
      </c>
      <c r="H92" s="2" t="s">
        <v>521</v>
      </c>
      <c r="I92" s="2" t="s">
        <v>40</v>
      </c>
      <c r="J92" s="2" t="s">
        <v>40</v>
      </c>
      <c r="K92" s="2" t="s">
        <v>40</v>
      </c>
    </row>
    <row r="93" spans="1:11" hidden="1" x14ac:dyDescent="0.25">
      <c r="A93" s="2" t="s">
        <v>217</v>
      </c>
      <c r="B93" s="2" t="str">
        <f t="shared" si="2"/>
        <v>El- Hussein Mosque</v>
      </c>
      <c r="C93" s="2">
        <v>178</v>
      </c>
      <c r="D93" s="2">
        <v>120</v>
      </c>
      <c r="E93" s="2" t="s">
        <v>218</v>
      </c>
      <c r="F93" s="2" t="s">
        <v>42</v>
      </c>
      <c r="G93" s="2" t="s">
        <v>95</v>
      </c>
      <c r="H93" s="2" t="s">
        <v>519</v>
      </c>
      <c r="I93" s="2" t="s">
        <v>540</v>
      </c>
      <c r="J93" s="2" t="s">
        <v>498</v>
      </c>
      <c r="K93" s="2" t="s">
        <v>520</v>
      </c>
    </row>
    <row r="94" spans="1:11" hidden="1" x14ac:dyDescent="0.25">
      <c r="A94" s="2" t="s">
        <v>93</v>
      </c>
      <c r="B94" s="2" t="str">
        <f t="shared" si="2"/>
        <v>Jawhar Al-Lala Mosque</v>
      </c>
      <c r="C94" s="2">
        <v>179</v>
      </c>
      <c r="D94" s="2">
        <v>119</v>
      </c>
      <c r="E94" s="2" t="s">
        <v>94</v>
      </c>
      <c r="F94" s="2" t="s">
        <v>42</v>
      </c>
      <c r="G94" s="2" t="s">
        <v>95</v>
      </c>
      <c r="H94" s="2" t="s">
        <v>519</v>
      </c>
      <c r="I94" s="2" t="s">
        <v>40</v>
      </c>
      <c r="J94" s="2" t="s">
        <v>498</v>
      </c>
      <c r="K94" s="2" t="s">
        <v>520</v>
      </c>
    </row>
    <row r="95" spans="1:11" hidden="1" x14ac:dyDescent="0.25">
      <c r="A95" s="2" t="s">
        <v>246</v>
      </c>
      <c r="B95" s="2" t="str">
        <f t="shared" si="2"/>
        <v>Endowments Building</v>
      </c>
      <c r="C95" s="2">
        <v>180</v>
      </c>
      <c r="D95" s="2">
        <v>123</v>
      </c>
      <c r="E95" s="2" t="s">
        <v>247</v>
      </c>
      <c r="F95" s="2" t="s">
        <v>42</v>
      </c>
      <c r="G95" s="2" t="s">
        <v>95</v>
      </c>
      <c r="H95" s="2" t="s">
        <v>519</v>
      </c>
      <c r="I95" s="2" t="s">
        <v>40</v>
      </c>
      <c r="J95" s="2" t="s">
        <v>498</v>
      </c>
      <c r="K95" s="2" t="s">
        <v>520</v>
      </c>
    </row>
    <row r="96" spans="1:11" hidden="1" x14ac:dyDescent="0.25">
      <c r="A96" s="2" t="s">
        <v>58</v>
      </c>
      <c r="B96" s="2" t="str">
        <f t="shared" si="2"/>
        <v>Beymen Fit Out</v>
      </c>
      <c r="C96" s="2">
        <v>181</v>
      </c>
      <c r="D96" s="2">
        <v>124</v>
      </c>
      <c r="E96" s="2" t="s">
        <v>59</v>
      </c>
      <c r="F96" s="2" t="s">
        <v>42</v>
      </c>
      <c r="G96" s="2" t="s">
        <v>57</v>
      </c>
      <c r="H96" s="2" t="s">
        <v>40</v>
      </c>
      <c r="I96" s="2" t="s">
        <v>40</v>
      </c>
      <c r="J96" s="2" t="s">
        <v>40</v>
      </c>
      <c r="K96" s="2" t="s">
        <v>40</v>
      </c>
    </row>
    <row r="97" spans="1:11" hidden="1" x14ac:dyDescent="0.25">
      <c r="A97" s="2" t="s">
        <v>53</v>
      </c>
      <c r="B97" s="2" t="str">
        <f t="shared" si="2"/>
        <v>Astoria Sharm elSheikh</v>
      </c>
      <c r="C97" s="2">
        <v>182</v>
      </c>
      <c r="D97" s="2">
        <v>125</v>
      </c>
      <c r="E97" s="2" t="s">
        <v>54</v>
      </c>
      <c r="F97" s="2" t="s">
        <v>42</v>
      </c>
      <c r="G97" s="2" t="s">
        <v>320</v>
      </c>
      <c r="H97" s="2" t="s">
        <v>500</v>
      </c>
      <c r="I97" s="2" t="s">
        <v>320</v>
      </c>
      <c r="J97" s="2" t="s">
        <v>40</v>
      </c>
      <c r="K97" s="2" t="s">
        <v>40</v>
      </c>
    </row>
    <row r="98" spans="1:11" hidden="1" x14ac:dyDescent="0.25">
      <c r="A98" s="2" t="s">
        <v>140</v>
      </c>
      <c r="B98" s="2" t="str">
        <f t="shared" ref="B98:B112" si="3">TRIM(LEFT(A98,FIND(RIGHT(A98,6),A98)-1))</f>
        <v>Wadi Halfa Port</v>
      </c>
      <c r="C98" s="2">
        <v>183</v>
      </c>
      <c r="D98" s="2">
        <v>126</v>
      </c>
      <c r="E98" s="2" t="s">
        <v>141</v>
      </c>
      <c r="F98" s="2" t="s">
        <v>42</v>
      </c>
      <c r="G98" s="2" t="s">
        <v>67</v>
      </c>
      <c r="H98" s="2" t="s">
        <v>496</v>
      </c>
      <c r="I98" s="2" t="s">
        <v>514</v>
      </c>
      <c r="J98" s="2" t="s">
        <v>527</v>
      </c>
      <c r="K98" s="2" t="s">
        <v>526</v>
      </c>
    </row>
    <row r="99" spans="1:11" hidden="1" x14ac:dyDescent="0.25">
      <c r="A99" s="2" t="s">
        <v>550</v>
      </c>
      <c r="B99" s="2" t="str">
        <f t="shared" si="3"/>
        <v>SSC Suez Steel Company Project</v>
      </c>
      <c r="C99" s="2">
        <v>184</v>
      </c>
      <c r="D99" s="2">
        <v>127</v>
      </c>
      <c r="E99" s="2" t="s">
        <v>139</v>
      </c>
      <c r="F99" s="2" t="s">
        <v>42</v>
      </c>
      <c r="G99" s="2" t="s">
        <v>67</v>
      </c>
      <c r="H99" s="2" t="s">
        <v>510</v>
      </c>
      <c r="I99" s="2" t="s">
        <v>40</v>
      </c>
      <c r="J99" s="2" t="s">
        <v>468</v>
      </c>
      <c r="K99" s="2" t="s">
        <v>503</v>
      </c>
    </row>
    <row r="100" spans="1:11" hidden="1" x14ac:dyDescent="0.25">
      <c r="A100" s="2" t="s">
        <v>121</v>
      </c>
      <c r="B100" s="2" t="str">
        <f t="shared" si="3"/>
        <v>Ora Zed Landscape Ph1</v>
      </c>
      <c r="C100" s="2">
        <v>185</v>
      </c>
      <c r="D100" s="2">
        <v>128</v>
      </c>
      <c r="E100" s="2" t="s">
        <v>122</v>
      </c>
      <c r="F100" s="2" t="s">
        <v>123</v>
      </c>
      <c r="G100" s="2" t="s">
        <v>98</v>
      </c>
      <c r="H100" s="2" t="s">
        <v>496</v>
      </c>
      <c r="I100" s="2" t="s">
        <v>123</v>
      </c>
      <c r="J100" s="2" t="s">
        <v>525</v>
      </c>
      <c r="K100" s="2" t="s">
        <v>503</v>
      </c>
    </row>
    <row r="101" spans="1:11" hidden="1" x14ac:dyDescent="0.25">
      <c r="A101" s="2" t="s">
        <v>99</v>
      </c>
      <c r="B101" s="2" t="str">
        <f t="shared" si="3"/>
        <v>L&amp;L El-Awsaty Tunnel</v>
      </c>
      <c r="C101" s="2">
        <v>186</v>
      </c>
      <c r="D101" s="2">
        <v>129</v>
      </c>
      <c r="E101" s="2" t="s">
        <v>100</v>
      </c>
      <c r="F101" s="2" t="s">
        <v>42</v>
      </c>
      <c r="G101" s="2" t="s">
        <v>43</v>
      </c>
      <c r="H101" s="2" t="s">
        <v>496</v>
      </c>
      <c r="I101" s="2" t="s">
        <v>497</v>
      </c>
      <c r="J101" s="2" t="s">
        <v>498</v>
      </c>
      <c r="K101" s="2" t="s">
        <v>520</v>
      </c>
    </row>
    <row r="102" spans="1:11" hidden="1" x14ac:dyDescent="0.25">
      <c r="A102" s="2" t="s">
        <v>82</v>
      </c>
      <c r="B102" s="2" t="str">
        <f t="shared" si="3"/>
        <v>EPICO 3 Facility</v>
      </c>
      <c r="C102" s="2">
        <v>187</v>
      </c>
      <c r="D102" s="2">
        <v>130</v>
      </c>
      <c r="E102" s="2" t="s">
        <v>83</v>
      </c>
      <c r="F102" s="2" t="s">
        <v>84</v>
      </c>
      <c r="G102" s="2" t="s">
        <v>67</v>
      </c>
      <c r="H102" s="2" t="s">
        <v>510</v>
      </c>
      <c r="I102" s="2" t="s">
        <v>511</v>
      </c>
      <c r="J102" s="2" t="s">
        <v>479</v>
      </c>
      <c r="K102" s="2" t="s">
        <v>40</v>
      </c>
    </row>
    <row r="103" spans="1:11" hidden="1" x14ac:dyDescent="0.25">
      <c r="A103" s="2" t="s">
        <v>237</v>
      </c>
      <c r="B103" s="2" t="str">
        <f t="shared" si="3"/>
        <v>Ring Road - El Qawmiya</v>
      </c>
      <c r="C103" s="2">
        <v>188</v>
      </c>
      <c r="D103" s="2">
        <v>131</v>
      </c>
      <c r="E103" s="2" t="s">
        <v>238</v>
      </c>
      <c r="F103" s="2" t="s">
        <v>239</v>
      </c>
      <c r="G103" s="2" t="s">
        <v>156</v>
      </c>
      <c r="H103" s="2" t="s">
        <v>496</v>
      </c>
      <c r="I103" s="2" t="s">
        <v>534</v>
      </c>
      <c r="J103" s="2" t="s">
        <v>498</v>
      </c>
      <c r="K103" s="2" t="s">
        <v>520</v>
      </c>
    </row>
    <row r="104" spans="1:11" hidden="1" x14ac:dyDescent="0.25">
      <c r="A104" s="2" t="s">
        <v>280</v>
      </c>
      <c r="B104" s="2" t="str">
        <f t="shared" si="3"/>
        <v>Ring Road - Service Road</v>
      </c>
      <c r="C104" s="2">
        <v>189</v>
      </c>
      <c r="D104" s="2">
        <v>132</v>
      </c>
      <c r="E104" s="2" t="s">
        <v>281</v>
      </c>
      <c r="F104" s="2" t="s">
        <v>282</v>
      </c>
      <c r="G104" s="2" t="s">
        <v>156</v>
      </c>
      <c r="H104" s="2" t="s">
        <v>496</v>
      </c>
      <c r="I104" s="2" t="s">
        <v>534</v>
      </c>
      <c r="J104" s="2" t="s">
        <v>498</v>
      </c>
      <c r="K104" s="2" t="s">
        <v>499</v>
      </c>
    </row>
    <row r="105" spans="1:11" hidden="1" x14ac:dyDescent="0.25">
      <c r="A105" s="2" t="s">
        <v>276</v>
      </c>
      <c r="B105" s="2" t="str">
        <f t="shared" si="3"/>
        <v>Darb Allabana Bldgs Ph1</v>
      </c>
      <c r="C105" s="2">
        <v>191</v>
      </c>
      <c r="D105" s="2">
        <v>134</v>
      </c>
      <c r="E105" s="2" t="s">
        <v>277</v>
      </c>
      <c r="F105" s="2" t="s">
        <v>42</v>
      </c>
      <c r="G105" s="2" t="s">
        <v>95</v>
      </c>
      <c r="H105" s="2" t="s">
        <v>519</v>
      </c>
      <c r="I105" s="2" t="s">
        <v>40</v>
      </c>
      <c r="J105" s="2" t="s">
        <v>40</v>
      </c>
      <c r="K105" s="2" t="s">
        <v>503</v>
      </c>
    </row>
    <row r="106" spans="1:11" hidden="1" x14ac:dyDescent="0.25">
      <c r="A106" s="2" t="s">
        <v>303</v>
      </c>
      <c r="B106" s="2" t="str">
        <f t="shared" si="3"/>
        <v>Creeks URBN-K</v>
      </c>
      <c r="C106" s="2">
        <v>192</v>
      </c>
      <c r="D106" s="2">
        <v>135</v>
      </c>
      <c r="E106" s="2" t="s">
        <v>304</v>
      </c>
      <c r="F106" s="2" t="s">
        <v>305</v>
      </c>
      <c r="G106" s="2" t="s">
        <v>98</v>
      </c>
      <c r="H106" s="2" t="s">
        <v>500</v>
      </c>
      <c r="I106" s="2" t="s">
        <v>521</v>
      </c>
      <c r="J106" s="2" t="s">
        <v>522</v>
      </c>
      <c r="K106" s="2" t="s">
        <v>503</v>
      </c>
    </row>
    <row r="107" spans="1:11" hidden="1" x14ac:dyDescent="0.25">
      <c r="A107" s="2" t="s">
        <v>264</v>
      </c>
      <c r="B107" s="2" t="str">
        <f t="shared" si="3"/>
        <v>DP World Basin 2 Ph2</v>
      </c>
      <c r="C107" s="2">
        <v>193</v>
      </c>
      <c r="D107" s="2">
        <v>136</v>
      </c>
      <c r="E107" s="2" t="s">
        <v>265</v>
      </c>
      <c r="F107" s="2" t="s">
        <v>266</v>
      </c>
      <c r="G107" s="2" t="s">
        <v>67</v>
      </c>
      <c r="H107" s="2" t="s">
        <v>496</v>
      </c>
      <c r="I107" s="2" t="s">
        <v>40</v>
      </c>
      <c r="J107" s="2" t="s">
        <v>507</v>
      </c>
      <c r="K107" s="2" t="s">
        <v>503</v>
      </c>
    </row>
    <row r="108" spans="1:11" hidden="1" x14ac:dyDescent="0.25">
      <c r="A108" s="2" t="s">
        <v>267</v>
      </c>
      <c r="B108" s="2" t="str">
        <f t="shared" si="3"/>
        <v>Seashell Playa 5 Villas</v>
      </c>
      <c r="C108" s="2">
        <v>194</v>
      </c>
      <c r="D108" s="2">
        <v>137</v>
      </c>
      <c r="E108" s="2" t="s">
        <v>268</v>
      </c>
      <c r="F108" s="2" t="s">
        <v>42</v>
      </c>
      <c r="G108" s="2" t="s">
        <v>269</v>
      </c>
      <c r="H108" s="2" t="s">
        <v>521</v>
      </c>
      <c r="I108" s="2" t="s">
        <v>521</v>
      </c>
      <c r="J108" s="2" t="s">
        <v>524</v>
      </c>
      <c r="K108" s="2" t="s">
        <v>503</v>
      </c>
    </row>
    <row r="109" spans="1:11" hidden="1" x14ac:dyDescent="0.25">
      <c r="A109" s="2" t="s">
        <v>283</v>
      </c>
      <c r="B109" s="2" t="str">
        <f t="shared" si="3"/>
        <v>Abo Shanab El Agamien</v>
      </c>
      <c r="C109" s="2">
        <v>195</v>
      </c>
      <c r="D109" s="2">
        <v>138</v>
      </c>
      <c r="E109" s="2" t="s">
        <v>284</v>
      </c>
      <c r="F109" s="2" t="s">
        <v>284</v>
      </c>
      <c r="G109" s="2" t="s">
        <v>318</v>
      </c>
      <c r="H109" s="2" t="s">
        <v>496</v>
      </c>
      <c r="I109" s="2" t="s">
        <v>40</v>
      </c>
      <c r="J109" s="2" t="s">
        <v>527</v>
      </c>
      <c r="K109" s="2" t="s">
        <v>526</v>
      </c>
    </row>
    <row r="110" spans="1:11" hidden="1" x14ac:dyDescent="0.25">
      <c r="A110" s="2" t="s">
        <v>285</v>
      </c>
      <c r="B110" s="2" t="str">
        <f t="shared" si="3"/>
        <v>MAF HQ Renovation</v>
      </c>
      <c r="C110" s="2">
        <v>196</v>
      </c>
      <c r="D110" s="2">
        <v>139</v>
      </c>
      <c r="E110" s="2" t="s">
        <v>286</v>
      </c>
      <c r="F110" s="2" t="s">
        <v>42</v>
      </c>
      <c r="G110" s="2" t="s">
        <v>57</v>
      </c>
      <c r="H110" s="2" t="s">
        <v>500</v>
      </c>
      <c r="I110" s="2" t="s">
        <v>501</v>
      </c>
      <c r="J110" s="2" t="s">
        <v>547</v>
      </c>
      <c r="K110" s="2" t="s">
        <v>503</v>
      </c>
    </row>
    <row r="111" spans="1:11" hidden="1" x14ac:dyDescent="0.25">
      <c r="A111" s="2" t="s">
        <v>291</v>
      </c>
      <c r="B111" s="2" t="str">
        <f t="shared" si="3"/>
        <v>Tarek AbdelHakim Center</v>
      </c>
      <c r="C111" s="2">
        <v>197</v>
      </c>
      <c r="D111" s="2" t="s">
        <v>40</v>
      </c>
      <c r="E111" s="2" t="s">
        <v>292</v>
      </c>
      <c r="F111" s="2" t="s">
        <v>42</v>
      </c>
      <c r="G111" s="2" t="s">
        <v>95</v>
      </c>
      <c r="H111" s="2" t="s">
        <v>519</v>
      </c>
      <c r="I111" s="2" t="s">
        <v>40</v>
      </c>
      <c r="J111" s="2" t="s">
        <v>40</v>
      </c>
      <c r="K111" s="2" t="s">
        <v>503</v>
      </c>
    </row>
    <row r="112" spans="1:11" x14ac:dyDescent="0.25">
      <c r="A112" s="2" t="s">
        <v>306</v>
      </c>
      <c r="B112" s="2" t="str">
        <f t="shared" si="3"/>
        <v>EGAT Mechanical Installations</v>
      </c>
      <c r="C112" s="2">
        <v>198</v>
      </c>
      <c r="D112" s="2" t="s">
        <v>40</v>
      </c>
      <c r="E112" s="2" t="s">
        <v>307</v>
      </c>
      <c r="F112" s="2" t="s">
        <v>42</v>
      </c>
      <c r="G112" s="2" t="s">
        <v>67</v>
      </c>
      <c r="H112" s="2" t="s">
        <v>510</v>
      </c>
      <c r="I112" s="2" t="s">
        <v>511</v>
      </c>
      <c r="J112" s="2" t="s">
        <v>477</v>
      </c>
      <c r="K112" s="2" t="s">
        <v>503</v>
      </c>
    </row>
    <row r="113" spans="1:11" hidden="1" x14ac:dyDescent="0.25">
      <c r="A113" s="2" t="s">
        <v>310</v>
      </c>
      <c r="B113" s="6" t="s">
        <v>553</v>
      </c>
      <c r="C113" s="2">
        <v>369</v>
      </c>
      <c r="D113" s="2">
        <v>0</v>
      </c>
      <c r="E113" s="2" t="s">
        <v>311</v>
      </c>
      <c r="F113" s="2" t="s">
        <v>42</v>
      </c>
      <c r="G113" s="2" t="s">
        <v>57</v>
      </c>
      <c r="H113" s="2" t="s">
        <v>500</v>
      </c>
      <c r="I113" s="2" t="s">
        <v>517</v>
      </c>
      <c r="J113" s="2" t="s">
        <v>524</v>
      </c>
      <c r="K113" s="2" t="s">
        <v>503</v>
      </c>
    </row>
    <row r="114" spans="1:11" hidden="1" x14ac:dyDescent="0.25">
      <c r="A114" s="2" t="s">
        <v>315</v>
      </c>
      <c r="B114" s="6" t="s">
        <v>552</v>
      </c>
      <c r="C114" s="2">
        <v>446</v>
      </c>
      <c r="D114" s="2" t="s">
        <v>40</v>
      </c>
      <c r="E114" s="2" t="s">
        <v>315</v>
      </c>
      <c r="F114" s="2" t="s">
        <v>42</v>
      </c>
      <c r="G114" s="2" t="s">
        <v>153</v>
      </c>
      <c r="J114" s="2" t="s">
        <v>498</v>
      </c>
      <c r="K114" s="2" t="s">
        <v>520</v>
      </c>
    </row>
    <row r="115" spans="1:11" hidden="1" x14ac:dyDescent="0.25">
      <c r="A115" s="2" t="s">
        <v>235</v>
      </c>
      <c r="B115" s="2" t="str">
        <f>TRIM(LEFT(A115,FIND(RIGHT(A115,6),A115)-1))</f>
        <v>Egypt Mosque</v>
      </c>
      <c r="C115" s="2">
        <v>8013</v>
      </c>
      <c r="D115" s="2" t="s">
        <v>40</v>
      </c>
      <c r="E115" s="2" t="s">
        <v>236</v>
      </c>
      <c r="F115" s="2" t="s">
        <v>42</v>
      </c>
      <c r="G115" s="2" t="s">
        <v>95</v>
      </c>
      <c r="H115" s="2" t="s">
        <v>519</v>
      </c>
      <c r="I115" s="2" t="s">
        <v>540</v>
      </c>
      <c r="J115" s="2" t="s">
        <v>498</v>
      </c>
      <c r="K115" s="2" t="s">
        <v>520</v>
      </c>
    </row>
    <row r="116" spans="1:11" hidden="1" x14ac:dyDescent="0.25">
      <c r="A116" s="2" t="s">
        <v>319</v>
      </c>
      <c r="B116" s="2" t="str">
        <f>TRIM(LEFT(A116,FIND(RIGHT(A116,6),A116)-1))</f>
        <v>Other B</v>
      </c>
      <c r="C116" s="2" t="s">
        <v>40</v>
      </c>
      <c r="D116" s="2" t="s">
        <v>40</v>
      </c>
      <c r="E116" s="2" t="s">
        <v>40</v>
      </c>
      <c r="F116" s="2"/>
      <c r="G116" s="2" t="s">
        <v>156</v>
      </c>
      <c r="H116" s="2" t="s">
        <v>496</v>
      </c>
      <c r="I116" s="2" t="s">
        <v>534</v>
      </c>
      <c r="J116" s="2" t="s">
        <v>40</v>
      </c>
      <c r="K116" s="2" t="s">
        <v>40</v>
      </c>
    </row>
    <row r="117" spans="1:11" hidden="1" x14ac:dyDescent="0.25">
      <c r="A117" s="2" t="s">
        <v>62</v>
      </c>
      <c r="B117" s="6" t="s">
        <v>64</v>
      </c>
      <c r="C117" s="2" t="s">
        <v>63</v>
      </c>
      <c r="D117" s="2">
        <v>101</v>
      </c>
      <c r="E117" s="2" t="s">
        <v>64</v>
      </c>
      <c r="F117" s="2"/>
      <c r="G117" s="2" t="s">
        <v>50</v>
      </c>
      <c r="H117" s="2" t="s">
        <v>506</v>
      </c>
      <c r="I117" s="2" t="s">
        <v>40</v>
      </c>
      <c r="J117" s="2" t="s">
        <v>40</v>
      </c>
      <c r="K117" s="2" t="s">
        <v>40</v>
      </c>
    </row>
    <row r="118" spans="1:11" hidden="1" x14ac:dyDescent="0.25">
      <c r="A118" s="2" t="s">
        <v>312</v>
      </c>
      <c r="B118" s="2" t="str">
        <f>TRIM(LEFT(A118,FIND(RIGHT(A118,6),A118)-1))</f>
        <v>Ban</v>
      </c>
      <c r="C118" s="2" t="s">
        <v>313</v>
      </c>
      <c r="D118" s="2">
        <v>0</v>
      </c>
      <c r="E118" s="2" t="s">
        <v>314</v>
      </c>
      <c r="F118" s="2" t="s">
        <v>42</v>
      </c>
      <c r="G118" s="2" t="s">
        <v>118</v>
      </c>
      <c r="H118" s="2" t="s">
        <v>510</v>
      </c>
      <c r="I118" s="2" t="s">
        <v>513</v>
      </c>
      <c r="J118" s="2" t="s">
        <v>549</v>
      </c>
      <c r="K118" s="2" t="s">
        <v>526</v>
      </c>
    </row>
    <row r="119" spans="1:11" hidden="1" x14ac:dyDescent="0.25">
      <c r="A119" s="2" t="s">
        <v>554</v>
      </c>
      <c r="B119" s="2" t="str">
        <f t="shared" ref="B119:B123" si="4">TRIM(LEFT(A119,FIND(RIGHT(A119,6),A119)-1))</f>
        <v>Haramein Columns Transfer</v>
      </c>
      <c r="C119" s="2">
        <v>199</v>
      </c>
      <c r="D119" s="2" t="s">
        <v>40</v>
      </c>
      <c r="E119" s="2" t="s">
        <v>555</v>
      </c>
      <c r="F119" s="2"/>
      <c r="G119" s="2"/>
    </row>
    <row r="120" spans="1:11" hidden="1" x14ac:dyDescent="0.25">
      <c r="A120" s="2" t="s">
        <v>561</v>
      </c>
      <c r="B120" s="2" t="str">
        <f t="shared" si="4"/>
        <v>Jawhara Palace Restoratio</v>
      </c>
      <c r="C120" s="2">
        <v>200</v>
      </c>
      <c r="D120" s="2" t="s">
        <v>40</v>
      </c>
      <c r="E120" s="2" t="s">
        <v>556</v>
      </c>
      <c r="F120" s="2"/>
      <c r="G120" s="2" t="s">
        <v>95</v>
      </c>
      <c r="H120" s="2" t="s">
        <v>519</v>
      </c>
      <c r="I120" s="2" t="s">
        <v>533</v>
      </c>
      <c r="J120" s="2" t="s">
        <v>40</v>
      </c>
      <c r="K120" s="2" t="s">
        <v>40</v>
      </c>
    </row>
    <row r="121" spans="1:11" hidden="1" x14ac:dyDescent="0.25">
      <c r="A121" s="2" t="s">
        <v>584</v>
      </c>
      <c r="B121" s="2" t="str">
        <f t="shared" si="4"/>
        <v>Hosh Eissa Hospital</v>
      </c>
      <c r="C121" s="2">
        <v>201</v>
      </c>
      <c r="D121" s="2" t="s">
        <v>40</v>
      </c>
      <c r="E121" s="2" t="s">
        <v>557</v>
      </c>
      <c r="F121" s="2"/>
      <c r="G121" s="2" t="s">
        <v>318</v>
      </c>
    </row>
    <row r="122" spans="1:11" hidden="1" x14ac:dyDescent="0.25">
      <c r="A122" s="2" t="s">
        <v>562</v>
      </c>
      <c r="B122" s="2" t="str">
        <f t="shared" si="4"/>
        <v>Mabarra for Girls Orphana</v>
      </c>
      <c r="C122" s="2">
        <v>202</v>
      </c>
      <c r="D122" s="2" t="s">
        <v>40</v>
      </c>
      <c r="E122" s="2" t="s">
        <v>558</v>
      </c>
      <c r="F122" s="2"/>
      <c r="G122" s="2" t="s">
        <v>57</v>
      </c>
    </row>
    <row r="123" spans="1:11" hidden="1" x14ac:dyDescent="0.25">
      <c r="A123" s="2" t="s">
        <v>560</v>
      </c>
      <c r="B123" s="2" t="str">
        <f t="shared" si="4"/>
        <v>British International School</v>
      </c>
      <c r="C123" s="2">
        <v>203</v>
      </c>
      <c r="D123" s="2" t="s">
        <v>40</v>
      </c>
      <c r="E123" s="2" t="s">
        <v>559</v>
      </c>
      <c r="F123" s="2"/>
      <c r="G123" s="2" t="s">
        <v>57</v>
      </c>
    </row>
  </sheetData>
  <conditionalFormatting sqref="A118">
    <cfRule type="duplicateValues" dxfId="9" priority="2"/>
  </conditionalFormatting>
  <conditionalFormatting sqref="A119:B1048576">
    <cfRule type="duplicateValues" dxfId="8" priority="6"/>
  </conditionalFormatting>
  <conditionalFormatting sqref="C118">
    <cfRule type="duplicateValues" dxfId="7" priority="1"/>
  </conditionalFormatting>
  <conditionalFormatting sqref="C119:C1048576">
    <cfRule type="duplicateValues" dxfId="6" priority="5"/>
  </conditionalFormatting>
  <conditionalFormatting sqref="A1:B2 A3:A117 B3:B118">
    <cfRule type="duplicateValues" dxfId="5" priority="7"/>
  </conditionalFormatting>
  <conditionalFormatting sqref="C1:C117">
    <cfRule type="duplicateValues" dxfId="4" priority="8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FED2D-A581-4B57-860B-E4CE87DA594D}">
  <sheetPr codeName="Sheet7"/>
  <dimension ref="A1:J1187"/>
  <sheetViews>
    <sheetView topLeftCell="C1" workbookViewId="0">
      <selection activeCell="F2" sqref="F2:J8"/>
    </sheetView>
  </sheetViews>
  <sheetFormatPr defaultRowHeight="15" x14ac:dyDescent="0.25"/>
  <cols>
    <col min="1" max="1" width="38.28515625" bestFit="1" customWidth="1"/>
    <col min="2" max="2" width="34.85546875" bestFit="1" customWidth="1"/>
    <col min="3" max="3" width="39" bestFit="1" customWidth="1"/>
    <col min="6" max="6" width="13.28515625" bestFit="1" customWidth="1"/>
    <col min="7" max="7" width="13.42578125" customWidth="1"/>
    <col min="9" max="9" width="39" bestFit="1" customWidth="1"/>
    <col min="10" max="10" width="18.5703125" customWidth="1"/>
    <col min="11" max="11" width="11" customWidth="1"/>
  </cols>
  <sheetData>
    <row r="1" spans="1:10" x14ac:dyDescent="0.25">
      <c r="A1" s="4" t="s">
        <v>362</v>
      </c>
      <c r="B1" s="4" t="s">
        <v>34</v>
      </c>
      <c r="C1" s="4" t="s">
        <v>363</v>
      </c>
      <c r="F1" t="s">
        <v>581</v>
      </c>
      <c r="G1" t="s">
        <v>582</v>
      </c>
      <c r="H1" t="s">
        <v>35</v>
      </c>
      <c r="I1" t="s">
        <v>362</v>
      </c>
      <c r="J1" t="s">
        <v>583</v>
      </c>
    </row>
    <row r="2" spans="1:10" x14ac:dyDescent="0.25">
      <c r="A2" s="3" t="s">
        <v>178</v>
      </c>
      <c r="B2" s="3">
        <v>133</v>
      </c>
      <c r="C2" s="3" t="s">
        <v>177</v>
      </c>
      <c r="F2" t="s">
        <v>97</v>
      </c>
      <c r="G2" s="7" cm="1">
        <f t="array" ref="G2">INT(planned(F2))</f>
        <v>138</v>
      </c>
      <c r="H2">
        <f>VLOOKUP(G2,Table4[[#All],[Cost Center]:[Client Type]],2,TRUE)</f>
        <v>6</v>
      </c>
      <c r="I2" t="str">
        <f>VLOOKUP(G2,Table4[[#All],[Cost Center]:[Client Type]],3,TRUE)</f>
        <v>Creek</v>
      </c>
      <c r="J2" t="str">
        <f>VLOOKUP(G2,Table4[[#All],[Cost Center]:[Client Type]],5,TRUE)</f>
        <v>Osama Mezayn</v>
      </c>
    </row>
    <row r="3" spans="1:10" x14ac:dyDescent="0.25">
      <c r="A3" s="3" t="s">
        <v>164</v>
      </c>
      <c r="B3" s="3">
        <v>140</v>
      </c>
      <c r="C3" s="3" t="s">
        <v>163</v>
      </c>
      <c r="F3" t="s">
        <v>348</v>
      </c>
      <c r="G3" s="7" cm="1">
        <f t="array" ref="G3">INT(planned(F3))</f>
        <v>192</v>
      </c>
      <c r="H3">
        <f>VLOOKUP(G3,Table4[[#All],[Cost Center]:[Client Type]],2,TRUE)</f>
        <v>135</v>
      </c>
      <c r="I3" t="str">
        <f>VLOOKUP(G3,Table4[[#All],[Cost Center]:[Client Type]],3,TRUE)</f>
        <v>Creeks URBN-K</v>
      </c>
      <c r="J3" t="str">
        <f>VLOOKUP(G3,Table4[[#All],[Cost Center]:[Client Type]],5,TRUE)</f>
        <v>Osama Mezayn</v>
      </c>
    </row>
    <row r="4" spans="1:10" x14ac:dyDescent="0.25">
      <c r="A4" s="3" t="s">
        <v>173</v>
      </c>
      <c r="B4" s="3">
        <v>139</v>
      </c>
      <c r="C4" s="3" t="s">
        <v>172</v>
      </c>
      <c r="F4" t="s">
        <v>105</v>
      </c>
      <c r="G4" s="7" cm="1">
        <f t="array" ref="G4">INT(planned(F4))</f>
        <v>170</v>
      </c>
      <c r="H4">
        <f>VLOOKUP(G4,Table4[[#All],[Cost Center]:[Client Type]],2,TRUE)</f>
        <v>113</v>
      </c>
      <c r="I4" t="str">
        <f>VLOOKUP(G4,Table4[[#All],[Cost Center]:[Client Type]],3,TRUE)</f>
        <v>Mivida BP#189</v>
      </c>
      <c r="J4" t="str">
        <f>VLOOKUP(G4,Table4[[#All],[Cost Center]:[Client Type]],5,TRUE)</f>
        <v>Osama Mezayn</v>
      </c>
    </row>
    <row r="5" spans="1:10" x14ac:dyDescent="0.25">
      <c r="A5" s="3" t="s">
        <v>284</v>
      </c>
      <c r="B5" s="3">
        <v>195</v>
      </c>
      <c r="C5" s="3" t="s">
        <v>284</v>
      </c>
      <c r="F5" t="s">
        <v>108</v>
      </c>
      <c r="G5" s="7" cm="1">
        <f t="array" ref="G5">INT(planned(F5))</f>
        <v>126</v>
      </c>
      <c r="H5">
        <f>VLOOKUP(G5,Table4[[#All],[Cost Center]:[Client Type]],2,TRUE)</f>
        <v>110</v>
      </c>
      <c r="I5" t="str">
        <f>VLOOKUP(G5,Table4[[#All],[Cost Center]:[Client Type]],3,TRUE)</f>
        <v>New Giza Hospital</v>
      </c>
      <c r="J5" t="str">
        <f>VLOOKUP(G5,Table4[[#All],[Cost Center]:[Client Type]],5,TRUE)</f>
        <v>Osama Mezayn</v>
      </c>
    </row>
    <row r="6" spans="1:10" x14ac:dyDescent="0.25">
      <c r="A6" s="3" t="s">
        <v>117</v>
      </c>
      <c r="B6" s="3">
        <v>175</v>
      </c>
      <c r="C6" s="3" t="s">
        <v>116</v>
      </c>
      <c r="F6" t="s">
        <v>111</v>
      </c>
      <c r="G6" s="7" cm="1">
        <f t="array" ref="G6">INT(planned(F6))</f>
        <v>137</v>
      </c>
      <c r="H6">
        <f>VLOOKUP(G6,Table4[[#All],[Cost Center]:[Client Type]],2,TRUE)</f>
        <v>1</v>
      </c>
      <c r="I6" t="str">
        <f>VLOOKUP(G6,Table4[[#All],[Cost Center]:[Client Type]],3,TRUE)</f>
        <v>ORA Zed PKGs A &amp; D</v>
      </c>
      <c r="J6" t="str">
        <f>VLOOKUP(G6,Table4[[#All],[Cost Center]:[Client Type]],5,TRUE)</f>
        <v>Osama Mezayn</v>
      </c>
    </row>
    <row r="7" spans="1:10" x14ac:dyDescent="0.25">
      <c r="A7" s="3" t="s">
        <v>202</v>
      </c>
      <c r="B7" s="3">
        <v>122</v>
      </c>
      <c r="C7" s="3" t="s">
        <v>201</v>
      </c>
      <c r="F7" t="s">
        <v>114</v>
      </c>
      <c r="G7" s="7" cm="1">
        <f t="array" ref="G7">INT(planned(F7))</f>
        <v>151</v>
      </c>
      <c r="H7">
        <f>VLOOKUP(G7,Table4[[#All],[Cost Center]:[Client Type]],2,TRUE)</f>
        <v>47</v>
      </c>
      <c r="I7" t="str">
        <f>VLOOKUP(G7,Table4[[#All],[Cost Center]:[Client Type]],3,TRUE)</f>
        <v>ORA ZED-Ph 2-Pkgs A&amp;D</v>
      </c>
      <c r="J7" t="str">
        <f>VLOOKUP(G7,Table4[[#All],[Cost Center]:[Client Type]],5,TRUE)</f>
        <v>Osama Mezayn</v>
      </c>
    </row>
    <row r="8" spans="1:10" x14ac:dyDescent="0.25">
      <c r="A8" s="3" t="s">
        <v>563</v>
      </c>
      <c r="B8" s="3"/>
      <c r="C8" s="3"/>
      <c r="F8" t="s">
        <v>349</v>
      </c>
      <c r="G8" s="7" cm="1">
        <f t="array" ref="G8">INT(planned(F8))</f>
        <v>185</v>
      </c>
      <c r="H8">
        <f>VLOOKUP(G8,Table4[[#All],[Cost Center]:[Client Type]],2,TRUE)</f>
        <v>128</v>
      </c>
      <c r="I8" t="str">
        <f>VLOOKUP(G8,Table4[[#All],[Cost Center]:[Client Type]],3,TRUE)</f>
        <v>Ora Zed Landscape Ph1</v>
      </c>
      <c r="J8" t="str">
        <f>VLOOKUP(G8,Table4[[#All],[Cost Center]:[Client Type]],5,TRUE)</f>
        <v>Osama Mezayn</v>
      </c>
    </row>
    <row r="9" spans="1:10" x14ac:dyDescent="0.25">
      <c r="A9" s="3" t="s">
        <v>282</v>
      </c>
      <c r="B9" s="3">
        <v>189</v>
      </c>
      <c r="C9" s="3" t="s">
        <v>281</v>
      </c>
      <c r="F9" t="s">
        <v>108</v>
      </c>
      <c r="G9" s="7" cm="1">
        <f t="array" ref="G9">INT(planned(F9))</f>
        <v>126</v>
      </c>
      <c r="H9">
        <f>VLOOKUP(G9,Table4[[#All],[Cost Center]:[Client Type]],2,TRUE)</f>
        <v>110</v>
      </c>
      <c r="I9" t="str">
        <f>VLOOKUP(G9,Table4[[#All],[Cost Center]:[Client Type]],3,TRUE)</f>
        <v>New Giza Hospital</v>
      </c>
      <c r="J9" t="str">
        <f>VLOOKUP(G9,Table4[[#All],[Cost Center]:[Client Type]],5,TRUE)</f>
        <v>Osama Mezayn</v>
      </c>
    </row>
    <row r="10" spans="1:10" x14ac:dyDescent="0.25">
      <c r="A10" s="3" t="s">
        <v>564</v>
      </c>
      <c r="B10" s="3"/>
      <c r="C10" s="3"/>
      <c r="F10" t="s">
        <v>108</v>
      </c>
      <c r="G10" s="7" cm="1">
        <f t="array" ref="G10">INT(planned(F10))</f>
        <v>126</v>
      </c>
      <c r="H10">
        <f>VLOOKUP(G10,Table4[[#All],[Cost Center]:[Client Type]],2,TRUE)</f>
        <v>110</v>
      </c>
      <c r="I10" t="str">
        <f>VLOOKUP(G10,Table4[[#All],[Cost Center]:[Client Type]],3,TRUE)</f>
        <v>New Giza Hospital</v>
      </c>
      <c r="J10" t="str">
        <f>VLOOKUP(G10,Table4[[#All],[Cost Center]:[Client Type]],5,TRUE)</f>
        <v>Osama Mezayn</v>
      </c>
    </row>
    <row r="11" spans="1:10" x14ac:dyDescent="0.25">
      <c r="A11" s="3" t="s">
        <v>185</v>
      </c>
      <c r="B11" s="3">
        <v>130</v>
      </c>
      <c r="C11" s="3" t="s">
        <v>184</v>
      </c>
      <c r="F11" t="s">
        <v>108</v>
      </c>
      <c r="G11" s="7" cm="1">
        <f t="array" ref="G11">INT(planned(F11))</f>
        <v>126</v>
      </c>
      <c r="H11">
        <f>VLOOKUP(G11,Table4[[#All],[Cost Center]:[Client Type]],2,TRUE)</f>
        <v>110</v>
      </c>
      <c r="I11" t="str">
        <f>VLOOKUP(G11,Table4[[#All],[Cost Center]:[Client Type]],3,TRUE)</f>
        <v>New Giza Hospital</v>
      </c>
      <c r="J11" t="str">
        <f>VLOOKUP(G11,Table4[[#All],[Cost Center]:[Client Type]],5,TRUE)</f>
        <v>Osama Mezayn</v>
      </c>
    </row>
    <row r="12" spans="1:10" x14ac:dyDescent="0.25">
      <c r="A12" s="3" t="s">
        <v>221</v>
      </c>
      <c r="B12" s="3">
        <v>152</v>
      </c>
      <c r="C12" s="3" t="s">
        <v>220</v>
      </c>
      <c r="F12" t="s">
        <v>108</v>
      </c>
      <c r="G12" s="7" cm="1">
        <f t="array" ref="G12">INT(planned(F12))</f>
        <v>126</v>
      </c>
      <c r="H12">
        <f>VLOOKUP(G12,Table4[[#All],[Cost Center]:[Client Type]],2,TRUE)</f>
        <v>110</v>
      </c>
      <c r="I12" t="str">
        <f>VLOOKUP(G12,Table4[[#All],[Cost Center]:[Client Type]],3,TRUE)</f>
        <v>New Giza Hospital</v>
      </c>
      <c r="J12" t="str">
        <f>VLOOKUP(G12,Table4[[#All],[Cost Center]:[Client Type]],5,TRUE)</f>
        <v>Osama Mezayn</v>
      </c>
    </row>
    <row r="13" spans="1:10" x14ac:dyDescent="0.25">
      <c r="A13" s="3" t="s">
        <v>234</v>
      </c>
      <c r="B13" s="3">
        <v>167</v>
      </c>
      <c r="C13" s="3" t="s">
        <v>233</v>
      </c>
      <c r="F13" t="s">
        <v>108</v>
      </c>
      <c r="G13" s="7" cm="1">
        <f t="array" ref="G13">INT(planned(F13))</f>
        <v>126</v>
      </c>
      <c r="H13">
        <f>VLOOKUP(G13,Table4[[#All],[Cost Center]:[Client Type]],2,TRUE)</f>
        <v>110</v>
      </c>
      <c r="I13" t="str">
        <f>VLOOKUP(G13,Table4[[#All],[Cost Center]:[Client Type]],3,TRUE)</f>
        <v>New Giza Hospital</v>
      </c>
      <c r="J13" t="str">
        <f>VLOOKUP(G13,Table4[[#All],[Cost Center]:[Client Type]],5,TRUE)</f>
        <v>Osama Mezayn</v>
      </c>
    </row>
    <row r="14" spans="1:10" x14ac:dyDescent="0.25">
      <c r="A14" s="3" t="s">
        <v>227</v>
      </c>
      <c r="B14" s="3">
        <v>168</v>
      </c>
      <c r="C14" s="3" t="s">
        <v>226</v>
      </c>
      <c r="F14" t="s">
        <v>108</v>
      </c>
      <c r="G14" s="7" cm="1">
        <f t="array" ref="G14">INT(planned(F14))</f>
        <v>126</v>
      </c>
      <c r="H14">
        <f>VLOOKUP(G14,Table4[[#All],[Cost Center]:[Client Type]],2,TRUE)</f>
        <v>110</v>
      </c>
      <c r="I14" t="str">
        <f>VLOOKUP(G14,Table4[[#All],[Cost Center]:[Client Type]],3,TRUE)</f>
        <v>New Giza Hospital</v>
      </c>
      <c r="J14" t="str">
        <f>VLOOKUP(G14,Table4[[#All],[Cost Center]:[Client Type]],5,TRUE)</f>
        <v>Osama Mezayn</v>
      </c>
    </row>
    <row r="15" spans="1:10" x14ac:dyDescent="0.25">
      <c r="A15" s="3" t="s">
        <v>224</v>
      </c>
      <c r="B15" s="3">
        <v>169</v>
      </c>
      <c r="C15" s="3" t="s">
        <v>223</v>
      </c>
      <c r="F15" t="s">
        <v>108</v>
      </c>
      <c r="G15" s="7" cm="1">
        <f t="array" ref="G15">INT(planned(F15))</f>
        <v>126</v>
      </c>
      <c r="H15">
        <f>VLOOKUP(G15,Table4[[#All],[Cost Center]:[Client Type]],2,TRUE)</f>
        <v>110</v>
      </c>
      <c r="I15" t="str">
        <f>VLOOKUP(G15,Table4[[#All],[Cost Center]:[Client Type]],3,TRUE)</f>
        <v>New Giza Hospital</v>
      </c>
      <c r="J15" t="str">
        <f>VLOOKUP(G15,Table4[[#All],[Cost Center]:[Client Type]],5,TRUE)</f>
        <v>Osama Mezayn</v>
      </c>
    </row>
    <row r="16" spans="1:10" x14ac:dyDescent="0.25">
      <c r="A16" s="3" t="s">
        <v>170</v>
      </c>
      <c r="B16" s="3">
        <v>143</v>
      </c>
      <c r="C16" s="3" t="s">
        <v>169</v>
      </c>
      <c r="F16" t="s">
        <v>108</v>
      </c>
      <c r="G16" s="7" cm="1">
        <f t="array" ref="G16">INT(planned(F16))</f>
        <v>126</v>
      </c>
      <c r="H16">
        <f>VLOOKUP(G16,Table4[[#All],[Cost Center]:[Client Type]],2,TRUE)</f>
        <v>110</v>
      </c>
      <c r="I16" t="str">
        <f>VLOOKUP(G16,Table4[[#All],[Cost Center]:[Client Type]],3,TRUE)</f>
        <v>New Giza Hospital</v>
      </c>
      <c r="J16" t="str">
        <f>VLOOKUP(G16,Table4[[#All],[Cost Center]:[Client Type]],5,TRUE)</f>
        <v>Osama Mezayn</v>
      </c>
    </row>
    <row r="17" spans="1:10" x14ac:dyDescent="0.25">
      <c r="A17" s="3" t="s">
        <v>210</v>
      </c>
      <c r="B17" s="3">
        <v>157</v>
      </c>
      <c r="C17" s="3" t="s">
        <v>209</v>
      </c>
      <c r="F17" t="s">
        <v>108</v>
      </c>
      <c r="G17" s="7" cm="1">
        <f t="array" ref="G17">INT(planned(F17))</f>
        <v>126</v>
      </c>
      <c r="H17">
        <f>VLOOKUP(G17,Table4[[#All],[Cost Center]:[Client Type]],2,TRUE)</f>
        <v>110</v>
      </c>
      <c r="I17" t="str">
        <f>VLOOKUP(G17,Table4[[#All],[Cost Center]:[Client Type]],3,TRUE)</f>
        <v>New Giza Hospital</v>
      </c>
      <c r="J17" t="str">
        <f>VLOOKUP(G17,Table4[[#All],[Cost Center]:[Client Type]],5,TRUE)</f>
        <v>Osama Mezayn</v>
      </c>
    </row>
    <row r="18" spans="1:10" x14ac:dyDescent="0.25">
      <c r="A18" s="3" t="s">
        <v>213</v>
      </c>
      <c r="B18" s="3">
        <v>166</v>
      </c>
      <c r="C18" s="3" t="s">
        <v>212</v>
      </c>
      <c r="F18" t="s">
        <v>108</v>
      </c>
      <c r="G18" s="7" cm="1">
        <f t="array" ref="G18">INT(planned(F18))</f>
        <v>126</v>
      </c>
      <c r="H18">
        <f>VLOOKUP(G18,Table4[[#All],[Cost Center]:[Client Type]],2,TRUE)</f>
        <v>110</v>
      </c>
      <c r="I18" t="str">
        <f>VLOOKUP(G18,Table4[[#All],[Cost Center]:[Client Type]],3,TRUE)</f>
        <v>New Giza Hospital</v>
      </c>
      <c r="J18" t="str">
        <f>VLOOKUP(G18,Table4[[#All],[Cost Center]:[Client Type]],5,TRUE)</f>
        <v>Osama Mezayn</v>
      </c>
    </row>
    <row r="19" spans="1:10" x14ac:dyDescent="0.25">
      <c r="A19" s="3" t="s">
        <v>167</v>
      </c>
      <c r="B19" s="3">
        <v>121</v>
      </c>
      <c r="C19" s="3" t="s">
        <v>166</v>
      </c>
      <c r="F19" t="s">
        <v>108</v>
      </c>
      <c r="G19" s="7" cm="1">
        <f t="array" ref="G19">INT(planned(F19))</f>
        <v>126</v>
      </c>
      <c r="H19">
        <f>VLOOKUP(G19,Table4[[#All],[Cost Center]:[Client Type]],2,TRUE)</f>
        <v>110</v>
      </c>
      <c r="I19" t="str">
        <f>VLOOKUP(G19,Table4[[#All],[Cost Center]:[Client Type]],3,TRUE)</f>
        <v>New Giza Hospital</v>
      </c>
      <c r="J19" t="str">
        <f>VLOOKUP(G19,Table4[[#All],[Cost Center]:[Client Type]],5,TRUE)</f>
        <v>Osama Mezayn</v>
      </c>
    </row>
    <row r="20" spans="1:10" x14ac:dyDescent="0.25">
      <c r="A20" s="3" t="s">
        <v>565</v>
      </c>
      <c r="B20" s="3"/>
      <c r="C20" s="3"/>
      <c r="F20" t="s">
        <v>108</v>
      </c>
      <c r="G20" s="7" cm="1">
        <f t="array" ref="G20">INT(planned(F20))</f>
        <v>126</v>
      </c>
      <c r="H20">
        <f>VLOOKUP(G20,Table4[[#All],[Cost Center]:[Client Type]],2,TRUE)</f>
        <v>110</v>
      </c>
      <c r="I20" t="str">
        <f>VLOOKUP(G20,Table4[[#All],[Cost Center]:[Client Type]],3,TRUE)</f>
        <v>New Giza Hospital</v>
      </c>
      <c r="J20" t="str">
        <f>VLOOKUP(G20,Table4[[#All],[Cost Center]:[Client Type]],5,TRUE)</f>
        <v>Osama Mezayn</v>
      </c>
    </row>
    <row r="21" spans="1:10" x14ac:dyDescent="0.25">
      <c r="A21" s="3" t="s">
        <v>216</v>
      </c>
      <c r="B21" s="3">
        <v>158</v>
      </c>
      <c r="C21" s="3" t="s">
        <v>215</v>
      </c>
      <c r="F21" t="s">
        <v>108</v>
      </c>
      <c r="G21" s="7" cm="1">
        <f t="array" ref="G21">INT(planned(F21))</f>
        <v>126</v>
      </c>
      <c r="H21">
        <f>VLOOKUP(G21,Table4[[#All],[Cost Center]:[Client Type]],2,TRUE)</f>
        <v>110</v>
      </c>
      <c r="I21" t="str">
        <f>VLOOKUP(G21,Table4[[#All],[Cost Center]:[Client Type]],3,TRUE)</f>
        <v>New Giza Hospital</v>
      </c>
      <c r="J21" t="str">
        <f>VLOOKUP(G21,Table4[[#All],[Cost Center]:[Client Type]],5,TRUE)</f>
        <v>Osama Mezayn</v>
      </c>
    </row>
    <row r="22" spans="1:10" x14ac:dyDescent="0.25">
      <c r="A22" s="3" t="s">
        <v>191</v>
      </c>
      <c r="B22" s="3">
        <v>60</v>
      </c>
      <c r="C22" s="3" t="s">
        <v>190</v>
      </c>
      <c r="F22" t="s">
        <v>108</v>
      </c>
      <c r="G22" s="7" cm="1">
        <f t="array" ref="G22">INT(planned(F22))</f>
        <v>126</v>
      </c>
      <c r="H22">
        <f>VLOOKUP(G22,Table4[[#All],[Cost Center]:[Client Type]],2,TRUE)</f>
        <v>110</v>
      </c>
      <c r="I22" t="str">
        <f>VLOOKUP(G22,Table4[[#All],[Cost Center]:[Client Type]],3,TRUE)</f>
        <v>New Giza Hospital</v>
      </c>
      <c r="J22" t="str">
        <f>VLOOKUP(G22,Table4[[#All],[Cost Center]:[Client Type]],5,TRUE)</f>
        <v>Osama Mezayn</v>
      </c>
    </row>
    <row r="23" spans="1:10" x14ac:dyDescent="0.25">
      <c r="A23" s="3" t="s">
        <v>131</v>
      </c>
      <c r="B23" s="3">
        <v>176</v>
      </c>
      <c r="C23" s="3" t="s">
        <v>130</v>
      </c>
      <c r="F23" t="s">
        <v>108</v>
      </c>
      <c r="G23" s="7" cm="1">
        <f t="array" ref="G23">INT(planned(F23))</f>
        <v>126</v>
      </c>
      <c r="H23">
        <f>VLOOKUP(G23,Table4[[#All],[Cost Center]:[Client Type]],2,TRUE)</f>
        <v>110</v>
      </c>
      <c r="I23" t="str">
        <f>VLOOKUP(G23,Table4[[#All],[Cost Center]:[Client Type]],3,TRUE)</f>
        <v>New Giza Hospital</v>
      </c>
      <c r="J23" t="str">
        <f>VLOOKUP(G23,Table4[[#All],[Cost Center]:[Client Type]],5,TRUE)</f>
        <v>Osama Mezayn</v>
      </c>
    </row>
    <row r="24" spans="1:10" x14ac:dyDescent="0.25">
      <c r="A24" s="3" t="s">
        <v>130</v>
      </c>
      <c r="B24" s="3">
        <v>176</v>
      </c>
      <c r="C24" s="3" t="s">
        <v>130</v>
      </c>
      <c r="F24" t="s">
        <v>108</v>
      </c>
      <c r="G24" s="7" cm="1">
        <f t="array" ref="G24">INT(planned(F24))</f>
        <v>126</v>
      </c>
      <c r="H24">
        <f>VLOOKUP(G24,Table4[[#All],[Cost Center]:[Client Type]],2,TRUE)</f>
        <v>110</v>
      </c>
      <c r="I24" t="str">
        <f>VLOOKUP(G24,Table4[[#All],[Cost Center]:[Client Type]],3,TRUE)</f>
        <v>New Giza Hospital</v>
      </c>
      <c r="J24" t="str">
        <f>VLOOKUP(G24,Table4[[#All],[Cost Center]:[Client Type]],5,TRUE)</f>
        <v>Osama Mezayn</v>
      </c>
    </row>
    <row r="25" spans="1:10" x14ac:dyDescent="0.25">
      <c r="A25" s="3" t="s">
        <v>143</v>
      </c>
      <c r="B25" s="3">
        <v>164</v>
      </c>
      <c r="C25" s="3" t="s">
        <v>143</v>
      </c>
      <c r="F25" t="s">
        <v>108</v>
      </c>
      <c r="G25" s="7" cm="1">
        <f t="array" ref="G25">INT(planned(F25))</f>
        <v>126</v>
      </c>
      <c r="H25">
        <f>VLOOKUP(G25,Table4[[#All],[Cost Center]:[Client Type]],2,TRUE)</f>
        <v>110</v>
      </c>
      <c r="I25" t="str">
        <f>VLOOKUP(G25,Table4[[#All],[Cost Center]:[Client Type]],3,TRUE)</f>
        <v>New Giza Hospital</v>
      </c>
      <c r="J25" t="str">
        <f>VLOOKUP(G25,Table4[[#All],[Cost Center]:[Client Type]],5,TRUE)</f>
        <v>Osama Mezayn</v>
      </c>
    </row>
    <row r="26" spans="1:10" x14ac:dyDescent="0.25">
      <c r="A26" s="3" t="s">
        <v>105</v>
      </c>
      <c r="B26" s="3">
        <v>170</v>
      </c>
      <c r="C26" s="3" t="s">
        <v>104</v>
      </c>
      <c r="F26" t="s">
        <v>108</v>
      </c>
      <c r="G26" s="7" cm="1">
        <f t="array" ref="G26">INT(planned(F26))</f>
        <v>126</v>
      </c>
      <c r="H26">
        <f>VLOOKUP(G26,Table4[[#All],[Cost Center]:[Client Type]],2,TRUE)</f>
        <v>110</v>
      </c>
      <c r="I26" t="str">
        <f>VLOOKUP(G26,Table4[[#All],[Cost Center]:[Client Type]],3,TRUE)</f>
        <v>New Giza Hospital</v>
      </c>
      <c r="J26" t="str">
        <f>VLOOKUP(G26,Table4[[#All],[Cost Center]:[Client Type]],5,TRUE)</f>
        <v>Osama Mezayn</v>
      </c>
    </row>
    <row r="27" spans="1:10" x14ac:dyDescent="0.25">
      <c r="A27" s="3" t="s">
        <v>108</v>
      </c>
      <c r="B27" s="3">
        <v>126</v>
      </c>
      <c r="C27" s="3" t="s">
        <v>107</v>
      </c>
      <c r="F27" t="s">
        <v>108</v>
      </c>
      <c r="G27" s="7" cm="1">
        <f t="array" ref="G27">INT(planned(F27))</f>
        <v>126</v>
      </c>
      <c r="H27">
        <f>VLOOKUP(G27,Table4[[#All],[Cost Center]:[Client Type]],2,TRUE)</f>
        <v>110</v>
      </c>
      <c r="I27" t="str">
        <f>VLOOKUP(G27,Table4[[#All],[Cost Center]:[Client Type]],3,TRUE)</f>
        <v>New Giza Hospital</v>
      </c>
      <c r="J27" t="str">
        <f>VLOOKUP(G27,Table4[[#All],[Cost Center]:[Client Type]],5,TRUE)</f>
        <v>Osama Mezayn</v>
      </c>
    </row>
    <row r="28" spans="1:10" x14ac:dyDescent="0.25">
      <c r="A28" s="3" t="s">
        <v>97</v>
      </c>
      <c r="B28" s="3">
        <v>138</v>
      </c>
      <c r="C28" s="3" t="s">
        <v>97</v>
      </c>
      <c r="F28" t="s">
        <v>108</v>
      </c>
      <c r="G28" s="7" cm="1">
        <f t="array" ref="G28">INT(planned(F28))</f>
        <v>126</v>
      </c>
      <c r="H28">
        <f>VLOOKUP(G28,Table4[[#All],[Cost Center]:[Client Type]],2,TRUE)</f>
        <v>110</v>
      </c>
      <c r="I28" t="str">
        <f>VLOOKUP(G28,Table4[[#All],[Cost Center]:[Client Type]],3,TRUE)</f>
        <v>New Giza Hospital</v>
      </c>
      <c r="J28" t="str">
        <f>VLOOKUP(G28,Table4[[#All],[Cost Center]:[Client Type]],5,TRUE)</f>
        <v>Osama Mezayn</v>
      </c>
    </row>
    <row r="29" spans="1:10" x14ac:dyDescent="0.25">
      <c r="A29" s="3" t="s">
        <v>111</v>
      </c>
      <c r="B29" s="3">
        <v>137</v>
      </c>
      <c r="C29" s="3" t="s">
        <v>110</v>
      </c>
      <c r="F29" t="s">
        <v>108</v>
      </c>
      <c r="G29" s="7" cm="1">
        <f t="array" ref="G29">INT(planned(F29))</f>
        <v>126</v>
      </c>
      <c r="H29">
        <f>VLOOKUP(G29,Table4[[#All],[Cost Center]:[Client Type]],2,TRUE)</f>
        <v>110</v>
      </c>
      <c r="I29" t="str">
        <f>VLOOKUP(G29,Table4[[#All],[Cost Center]:[Client Type]],3,TRUE)</f>
        <v>New Giza Hospital</v>
      </c>
      <c r="J29" t="str">
        <f>VLOOKUP(G29,Table4[[#All],[Cost Center]:[Client Type]],5,TRUE)</f>
        <v>Osama Mezayn</v>
      </c>
    </row>
    <row r="30" spans="1:10" x14ac:dyDescent="0.25">
      <c r="A30" s="3" t="s">
        <v>114</v>
      </c>
      <c r="B30" s="3">
        <v>151</v>
      </c>
      <c r="C30" s="3" t="s">
        <v>113</v>
      </c>
      <c r="F30" t="s">
        <v>108</v>
      </c>
      <c r="G30" s="7" cm="1">
        <f t="array" ref="G30">INT(planned(F30))</f>
        <v>126</v>
      </c>
      <c r="H30">
        <f>VLOOKUP(G30,Table4[[#All],[Cost Center]:[Client Type]],2,TRUE)</f>
        <v>110</v>
      </c>
      <c r="I30" t="str">
        <f>VLOOKUP(G30,Table4[[#All],[Cost Center]:[Client Type]],3,TRUE)</f>
        <v>New Giza Hospital</v>
      </c>
      <c r="J30" t="str">
        <f>VLOOKUP(G30,Table4[[#All],[Cost Center]:[Client Type]],5,TRUE)</f>
        <v>Osama Mezayn</v>
      </c>
    </row>
    <row r="31" spans="1:10" x14ac:dyDescent="0.25">
      <c r="A31" s="3" t="s">
        <v>123</v>
      </c>
      <c r="B31" s="3">
        <v>185</v>
      </c>
      <c r="C31" s="3" t="s">
        <v>122</v>
      </c>
      <c r="F31" t="s">
        <v>108</v>
      </c>
      <c r="G31" s="7" cm="1">
        <f t="array" ref="G31">INT(planned(F31))</f>
        <v>126</v>
      </c>
      <c r="H31">
        <f>VLOOKUP(G31,Table4[[#All],[Cost Center]:[Client Type]],2,TRUE)</f>
        <v>110</v>
      </c>
      <c r="I31" t="str">
        <f>VLOOKUP(G31,Table4[[#All],[Cost Center]:[Client Type]],3,TRUE)</f>
        <v>New Giza Hospital</v>
      </c>
      <c r="J31" t="str">
        <f>VLOOKUP(G31,Table4[[#All],[Cost Center]:[Client Type]],5,TRUE)</f>
        <v>Osama Mezayn</v>
      </c>
    </row>
    <row r="32" spans="1:10" x14ac:dyDescent="0.25">
      <c r="A32" s="3" t="s">
        <v>305</v>
      </c>
      <c r="B32" s="3">
        <v>192</v>
      </c>
      <c r="C32" s="3" t="s">
        <v>304</v>
      </c>
      <c r="F32" t="s">
        <v>108</v>
      </c>
      <c r="G32" s="7" cm="1">
        <f t="array" ref="G32">INT(planned(F32))</f>
        <v>126</v>
      </c>
      <c r="H32">
        <f>VLOOKUP(G32,Table4[[#All],[Cost Center]:[Client Type]],2,TRUE)</f>
        <v>110</v>
      </c>
      <c r="I32" t="str">
        <f>VLOOKUP(G32,Table4[[#All],[Cost Center]:[Client Type]],3,TRUE)</f>
        <v>New Giza Hospital</v>
      </c>
      <c r="J32" t="str">
        <f>VLOOKUP(G32,Table4[[#All],[Cost Center]:[Client Type]],5,TRUE)</f>
        <v>Osama Mezayn</v>
      </c>
    </row>
    <row r="33" spans="1:10" x14ac:dyDescent="0.25">
      <c r="A33" s="3" t="s">
        <v>266</v>
      </c>
      <c r="B33" s="3">
        <v>193</v>
      </c>
      <c r="C33" s="3" t="s">
        <v>265</v>
      </c>
      <c r="F33" t="s">
        <v>108</v>
      </c>
      <c r="G33" s="7" cm="1">
        <f t="array" ref="G33">INT(planned(F33))</f>
        <v>126</v>
      </c>
      <c r="H33">
        <f>VLOOKUP(G33,Table4[[#All],[Cost Center]:[Client Type]],2,TRUE)</f>
        <v>110</v>
      </c>
      <c r="I33" t="str">
        <f>VLOOKUP(G33,Table4[[#All],[Cost Center]:[Client Type]],3,TRUE)</f>
        <v>New Giza Hospital</v>
      </c>
      <c r="J33" t="str">
        <f>VLOOKUP(G33,Table4[[#All],[Cost Center]:[Client Type]],5,TRUE)</f>
        <v>Osama Mezayn</v>
      </c>
    </row>
    <row r="34" spans="1:10" x14ac:dyDescent="0.25">
      <c r="A34" s="3" t="s">
        <v>84</v>
      </c>
      <c r="B34" s="3">
        <v>187</v>
      </c>
      <c r="C34" s="3" t="s">
        <v>83</v>
      </c>
      <c r="F34" t="s">
        <v>108</v>
      </c>
      <c r="G34" s="7" cm="1">
        <f t="array" ref="G34">INT(planned(F34))</f>
        <v>126</v>
      </c>
      <c r="H34">
        <f>VLOOKUP(G34,Table4[[#All],[Cost Center]:[Client Type]],2,TRUE)</f>
        <v>110</v>
      </c>
      <c r="I34" t="str">
        <f>VLOOKUP(G34,Table4[[#All],[Cost Center]:[Client Type]],3,TRUE)</f>
        <v>New Giza Hospital</v>
      </c>
      <c r="J34" t="str">
        <f>VLOOKUP(G34,Table4[[#All],[Cost Center]:[Client Type]],5,TRUE)</f>
        <v>Osama Mezayn</v>
      </c>
    </row>
    <row r="35" spans="1:10" x14ac:dyDescent="0.25">
      <c r="A35" s="3" t="s">
        <v>126</v>
      </c>
      <c r="B35" s="3">
        <v>159</v>
      </c>
      <c r="C35" s="3" t="s">
        <v>125</v>
      </c>
      <c r="F35" t="s">
        <v>108</v>
      </c>
      <c r="G35" s="7" cm="1">
        <f t="array" ref="G35">INT(planned(F35))</f>
        <v>126</v>
      </c>
      <c r="H35">
        <f>VLOOKUP(G35,Table4[[#All],[Cost Center]:[Client Type]],2,TRUE)</f>
        <v>110</v>
      </c>
      <c r="I35" t="str">
        <f>VLOOKUP(G35,Table4[[#All],[Cost Center]:[Client Type]],3,TRUE)</f>
        <v>New Giza Hospital</v>
      </c>
      <c r="J35" t="str">
        <f>VLOOKUP(G35,Table4[[#All],[Cost Center]:[Client Type]],5,TRUE)</f>
        <v>Osama Mezayn</v>
      </c>
    </row>
    <row r="36" spans="1:10" x14ac:dyDescent="0.25">
      <c r="A36" s="3" t="s">
        <v>138</v>
      </c>
      <c r="B36" s="3">
        <v>145</v>
      </c>
      <c r="C36" s="3" t="s">
        <v>137</v>
      </c>
      <c r="F36" t="s">
        <v>108</v>
      </c>
      <c r="G36" s="7" cm="1">
        <f t="array" ref="G36">INT(planned(F36))</f>
        <v>126</v>
      </c>
      <c r="H36">
        <f>VLOOKUP(G36,Table4[[#All],[Cost Center]:[Client Type]],2,TRUE)</f>
        <v>110</v>
      </c>
      <c r="I36" t="str">
        <f>VLOOKUP(G36,Table4[[#All],[Cost Center]:[Client Type]],3,TRUE)</f>
        <v>New Giza Hospital</v>
      </c>
      <c r="J36" t="str">
        <f>VLOOKUP(G36,Table4[[#All],[Cost Center]:[Client Type]],5,TRUE)</f>
        <v>Osama Mezayn</v>
      </c>
    </row>
    <row r="37" spans="1:10" x14ac:dyDescent="0.25">
      <c r="A37" s="3" t="s">
        <v>329</v>
      </c>
      <c r="B37" s="3">
        <v>145</v>
      </c>
      <c r="C37" s="3" t="s">
        <v>137</v>
      </c>
      <c r="F37" t="s">
        <v>108</v>
      </c>
      <c r="G37" s="7" cm="1">
        <f t="array" ref="G37">INT(planned(F37))</f>
        <v>126</v>
      </c>
      <c r="H37">
        <f>VLOOKUP(G37,Table4[[#All],[Cost Center]:[Client Type]],2,TRUE)</f>
        <v>110</v>
      </c>
      <c r="I37" t="str">
        <f>VLOOKUP(G37,Table4[[#All],[Cost Center]:[Client Type]],3,TRUE)</f>
        <v>New Giza Hospital</v>
      </c>
      <c r="J37" t="str">
        <f>VLOOKUP(G37,Table4[[#All],[Cost Center]:[Client Type]],5,TRUE)</f>
        <v>Osama Mezayn</v>
      </c>
    </row>
    <row r="38" spans="1:10" x14ac:dyDescent="0.25">
      <c r="A38" s="3" t="s">
        <v>566</v>
      </c>
      <c r="B38" s="3">
        <v>172</v>
      </c>
      <c r="C38" s="3" t="s">
        <v>86</v>
      </c>
      <c r="F38" t="s">
        <v>108</v>
      </c>
      <c r="G38" s="7" cm="1">
        <f t="array" ref="G38">INT(planned(F38))</f>
        <v>126</v>
      </c>
      <c r="H38">
        <f>VLOOKUP(G38,Table4[[#All],[Cost Center]:[Client Type]],2,TRUE)</f>
        <v>110</v>
      </c>
      <c r="I38" t="str">
        <f>VLOOKUP(G38,Table4[[#All],[Cost Center]:[Client Type]],3,TRUE)</f>
        <v>New Giza Hospital</v>
      </c>
      <c r="J38" t="str">
        <f>VLOOKUP(G38,Table4[[#All],[Cost Center]:[Client Type]],5,TRUE)</f>
        <v>Osama Mezayn</v>
      </c>
    </row>
    <row r="39" spans="1:10" x14ac:dyDescent="0.25">
      <c r="A39" s="3" t="s">
        <v>580</v>
      </c>
      <c r="B39" s="3">
        <v>172</v>
      </c>
      <c r="C39" s="3" t="s">
        <v>86</v>
      </c>
      <c r="F39" t="s">
        <v>108</v>
      </c>
      <c r="G39" s="7" cm="1">
        <f t="array" ref="G39">INT(planned(F39))</f>
        <v>126</v>
      </c>
      <c r="H39">
        <f>VLOOKUP(G39,Table4[[#All],[Cost Center]:[Client Type]],2,TRUE)</f>
        <v>110</v>
      </c>
      <c r="I39" t="str">
        <f>VLOOKUP(G39,Table4[[#All],[Cost Center]:[Client Type]],3,TRUE)</f>
        <v>New Giza Hospital</v>
      </c>
      <c r="J39" t="str">
        <f>VLOOKUP(G39,Table4[[#All],[Cost Center]:[Client Type]],5,TRUE)</f>
        <v>Osama Mezayn</v>
      </c>
    </row>
    <row r="40" spans="1:10" x14ac:dyDescent="0.25">
      <c r="A40" s="3" t="s">
        <v>102</v>
      </c>
      <c r="B40" s="3">
        <v>147</v>
      </c>
      <c r="C40" s="3" t="s">
        <v>102</v>
      </c>
      <c r="F40" t="s">
        <v>108</v>
      </c>
      <c r="G40" s="7" cm="1">
        <f t="array" ref="G40">INT(planned(F40))</f>
        <v>126</v>
      </c>
      <c r="H40">
        <f>VLOOKUP(G40,Table4[[#All],[Cost Center]:[Client Type]],2,TRUE)</f>
        <v>110</v>
      </c>
      <c r="I40" t="str">
        <f>VLOOKUP(G40,Table4[[#All],[Cost Center]:[Client Type]],3,TRUE)</f>
        <v>New Giza Hospital</v>
      </c>
      <c r="J40" t="str">
        <f>VLOOKUP(G40,Table4[[#All],[Cost Center]:[Client Type]],5,TRUE)</f>
        <v>Osama Mezayn</v>
      </c>
    </row>
    <row r="41" spans="1:10" x14ac:dyDescent="0.25">
      <c r="A41" s="3" t="s">
        <v>196</v>
      </c>
      <c r="B41" s="3">
        <v>88</v>
      </c>
      <c r="C41" s="3" t="s">
        <v>195</v>
      </c>
      <c r="F41" t="s">
        <v>108</v>
      </c>
      <c r="G41" s="7" cm="1">
        <f t="array" ref="G41">INT(planned(F41))</f>
        <v>126</v>
      </c>
      <c r="H41">
        <f>VLOOKUP(G41,Table4[[#All],[Cost Center]:[Client Type]],2,TRUE)</f>
        <v>110</v>
      </c>
      <c r="I41" t="str">
        <f>VLOOKUP(G41,Table4[[#All],[Cost Center]:[Client Type]],3,TRUE)</f>
        <v>New Giza Hospital</v>
      </c>
      <c r="J41" t="str">
        <f>VLOOKUP(G41,Table4[[#All],[Cost Center]:[Client Type]],5,TRUE)</f>
        <v>Osama Mezayn</v>
      </c>
    </row>
    <row r="42" spans="1:10" x14ac:dyDescent="0.25">
      <c r="A42" s="3" t="s">
        <v>152</v>
      </c>
      <c r="B42" s="3">
        <v>150</v>
      </c>
      <c r="C42" s="3" t="s">
        <v>151</v>
      </c>
      <c r="F42" t="s">
        <v>108</v>
      </c>
      <c r="G42" s="7" cm="1">
        <f t="array" ref="G42">INT(planned(F42))</f>
        <v>126</v>
      </c>
      <c r="H42">
        <f>VLOOKUP(G42,Table4[[#All],[Cost Center]:[Client Type]],2,TRUE)</f>
        <v>110</v>
      </c>
      <c r="I42" t="str">
        <f>VLOOKUP(G42,Table4[[#All],[Cost Center]:[Client Type]],3,TRUE)</f>
        <v>New Giza Hospital</v>
      </c>
      <c r="J42" t="str">
        <f>VLOOKUP(G42,Table4[[#All],[Cost Center]:[Client Type]],5,TRUE)</f>
        <v>Osama Mezayn</v>
      </c>
    </row>
    <row r="43" spans="1:10" x14ac:dyDescent="0.25">
      <c r="A43" s="3" t="s">
        <v>207</v>
      </c>
      <c r="B43" s="3">
        <v>160</v>
      </c>
      <c r="C43" s="3" t="s">
        <v>206</v>
      </c>
      <c r="F43" t="s">
        <v>108</v>
      </c>
      <c r="G43" s="7" cm="1">
        <f t="array" ref="G43">INT(planned(F43))</f>
        <v>126</v>
      </c>
      <c r="H43">
        <f>VLOOKUP(G43,Table4[[#All],[Cost Center]:[Client Type]],2,TRUE)</f>
        <v>110</v>
      </c>
      <c r="I43" t="str">
        <f>VLOOKUP(G43,Table4[[#All],[Cost Center]:[Client Type]],3,TRUE)</f>
        <v>New Giza Hospital</v>
      </c>
      <c r="J43" t="str">
        <f>VLOOKUP(G43,Table4[[#All],[Cost Center]:[Client Type]],5,TRUE)</f>
        <v>Osama Mezayn</v>
      </c>
    </row>
    <row r="44" spans="1:10" x14ac:dyDescent="0.25">
      <c r="A44" s="3" t="s">
        <v>199</v>
      </c>
      <c r="B44" s="3">
        <v>99</v>
      </c>
      <c r="C44" s="3" t="s">
        <v>198</v>
      </c>
      <c r="F44" t="s">
        <v>108</v>
      </c>
      <c r="G44" s="7" cm="1">
        <f t="array" ref="G44">INT(planned(F44))</f>
        <v>126</v>
      </c>
      <c r="H44">
        <f>VLOOKUP(G44,Table4[[#All],[Cost Center]:[Client Type]],2,TRUE)</f>
        <v>110</v>
      </c>
      <c r="I44" t="str">
        <f>VLOOKUP(G44,Table4[[#All],[Cost Center]:[Client Type]],3,TRUE)</f>
        <v>New Giza Hospital</v>
      </c>
      <c r="J44" t="str">
        <f>VLOOKUP(G44,Table4[[#All],[Cost Center]:[Client Type]],5,TRUE)</f>
        <v>Osama Mezayn</v>
      </c>
    </row>
    <row r="45" spans="1:10" x14ac:dyDescent="0.25">
      <c r="A45" s="3" t="s">
        <v>355</v>
      </c>
      <c r="B45" s="3">
        <v>164</v>
      </c>
      <c r="C45" s="3" t="s">
        <v>143</v>
      </c>
      <c r="F45" t="s">
        <v>108</v>
      </c>
      <c r="G45" s="7" cm="1">
        <f t="array" ref="G45">INT(planned(F45))</f>
        <v>126</v>
      </c>
      <c r="H45">
        <f>VLOOKUP(G45,Table4[[#All],[Cost Center]:[Client Type]],2,TRUE)</f>
        <v>110</v>
      </c>
      <c r="I45" t="str">
        <f>VLOOKUP(G45,Table4[[#All],[Cost Center]:[Client Type]],3,TRUE)</f>
        <v>New Giza Hospital</v>
      </c>
      <c r="J45" t="str">
        <f>VLOOKUP(G45,Table4[[#All],[Cost Center]:[Client Type]],5,TRUE)</f>
        <v>Osama Mezayn</v>
      </c>
    </row>
    <row r="46" spans="1:10" x14ac:dyDescent="0.25">
      <c r="A46" s="3" t="s">
        <v>353</v>
      </c>
      <c r="B46" s="3">
        <v>99</v>
      </c>
      <c r="C46" s="3" t="s">
        <v>198</v>
      </c>
      <c r="F46" t="s">
        <v>108</v>
      </c>
      <c r="G46" s="7" cm="1">
        <f t="array" ref="G46">INT(planned(F46))</f>
        <v>126</v>
      </c>
      <c r="H46">
        <f>VLOOKUP(G46,Table4[[#All],[Cost Center]:[Client Type]],2,TRUE)</f>
        <v>110</v>
      </c>
      <c r="I46" t="str">
        <f>VLOOKUP(G46,Table4[[#All],[Cost Center]:[Client Type]],3,TRUE)</f>
        <v>New Giza Hospital</v>
      </c>
      <c r="J46" t="str">
        <f>VLOOKUP(G46,Table4[[#All],[Cost Center]:[Client Type]],5,TRUE)</f>
        <v>Osama Mezayn</v>
      </c>
    </row>
    <row r="47" spans="1:10" x14ac:dyDescent="0.25">
      <c r="A47" s="3" t="s">
        <v>354</v>
      </c>
      <c r="B47" s="3">
        <v>150</v>
      </c>
      <c r="C47" s="3" t="s">
        <v>151</v>
      </c>
      <c r="F47" t="s">
        <v>108</v>
      </c>
      <c r="G47" s="7" cm="1">
        <f t="array" ref="G47">INT(planned(F47))</f>
        <v>126</v>
      </c>
      <c r="H47">
        <f>VLOOKUP(G47,Table4[[#All],[Cost Center]:[Client Type]],2,TRUE)</f>
        <v>110</v>
      </c>
      <c r="I47" t="str">
        <f>VLOOKUP(G47,Table4[[#All],[Cost Center]:[Client Type]],3,TRUE)</f>
        <v>New Giza Hospital</v>
      </c>
      <c r="J47" t="str">
        <f>VLOOKUP(G47,Table4[[#All],[Cost Center]:[Client Type]],5,TRUE)</f>
        <v>Osama Mezayn</v>
      </c>
    </row>
    <row r="48" spans="1:10" x14ac:dyDescent="0.25">
      <c r="A48" s="3" t="s">
        <v>348</v>
      </c>
      <c r="B48" s="3">
        <v>192</v>
      </c>
      <c r="C48" s="3" t="s">
        <v>304</v>
      </c>
      <c r="F48" t="s">
        <v>108</v>
      </c>
      <c r="G48" s="7" cm="1">
        <f t="array" ref="G48">INT(planned(F48))</f>
        <v>126</v>
      </c>
      <c r="H48">
        <f>VLOOKUP(G48,Table4[[#All],[Cost Center]:[Client Type]],2,TRUE)</f>
        <v>110</v>
      </c>
      <c r="I48" t="str">
        <f>VLOOKUP(G48,Table4[[#All],[Cost Center]:[Client Type]],3,TRUE)</f>
        <v>New Giza Hospital</v>
      </c>
      <c r="J48" t="str">
        <f>VLOOKUP(G48,Table4[[#All],[Cost Center]:[Client Type]],5,TRUE)</f>
        <v>Osama Mezayn</v>
      </c>
    </row>
    <row r="49" spans="1:10" x14ac:dyDescent="0.25">
      <c r="A49" s="3" t="s">
        <v>349</v>
      </c>
      <c r="B49" s="3">
        <v>185</v>
      </c>
      <c r="C49" s="3" t="s">
        <v>122</v>
      </c>
      <c r="F49" t="s">
        <v>108</v>
      </c>
      <c r="G49" s="7" cm="1">
        <f t="array" ref="G49">INT(planned(F49))</f>
        <v>126</v>
      </c>
      <c r="H49">
        <f>VLOOKUP(G49,Table4[[#All],[Cost Center]:[Client Type]],2,TRUE)</f>
        <v>110</v>
      </c>
      <c r="I49" t="str">
        <f>VLOOKUP(G49,Table4[[#All],[Cost Center]:[Client Type]],3,TRUE)</f>
        <v>New Giza Hospital</v>
      </c>
      <c r="J49" t="str">
        <f>VLOOKUP(G49,Table4[[#All],[Cost Center]:[Client Type]],5,TRUE)</f>
        <v>Osama Mezayn</v>
      </c>
    </row>
    <row r="50" spans="1:10" x14ac:dyDescent="0.25">
      <c r="A50" s="3" t="s">
        <v>567</v>
      </c>
      <c r="B50" s="3">
        <v>159</v>
      </c>
      <c r="C50" s="3" t="s">
        <v>125</v>
      </c>
      <c r="F50" t="s">
        <v>108</v>
      </c>
      <c r="G50" s="7" cm="1">
        <f t="array" ref="G50">INT(planned(F50))</f>
        <v>126</v>
      </c>
      <c r="H50">
        <f>VLOOKUP(G50,Table4[[#All],[Cost Center]:[Client Type]],2,TRUE)</f>
        <v>110</v>
      </c>
      <c r="I50" t="str">
        <f>VLOOKUP(G50,Table4[[#All],[Cost Center]:[Client Type]],3,TRUE)</f>
        <v>New Giza Hospital</v>
      </c>
      <c r="J50" t="str">
        <f>VLOOKUP(G50,Table4[[#All],[Cost Center]:[Client Type]],5,TRUE)</f>
        <v>Osama Mezayn</v>
      </c>
    </row>
    <row r="51" spans="1:10" x14ac:dyDescent="0.25">
      <c r="A51" s="3" t="s">
        <v>265</v>
      </c>
      <c r="B51" s="3">
        <v>193</v>
      </c>
      <c r="C51" s="3" t="s">
        <v>265</v>
      </c>
      <c r="F51" t="s">
        <v>108</v>
      </c>
      <c r="G51" s="7" cm="1">
        <f t="array" ref="G51">INT(planned(F51))</f>
        <v>126</v>
      </c>
      <c r="H51">
        <f>VLOOKUP(G51,Table4[[#All],[Cost Center]:[Client Type]],2,TRUE)</f>
        <v>110</v>
      </c>
      <c r="I51" t="str">
        <f>VLOOKUP(G51,Table4[[#All],[Cost Center]:[Client Type]],3,TRUE)</f>
        <v>New Giza Hospital</v>
      </c>
      <c r="J51" t="str">
        <f>VLOOKUP(G51,Table4[[#All],[Cost Center]:[Client Type]],5,TRUE)</f>
        <v>Osama Mezayn</v>
      </c>
    </row>
    <row r="52" spans="1:10" x14ac:dyDescent="0.25">
      <c r="A52" s="3" t="s">
        <v>568</v>
      </c>
      <c r="B52" s="3">
        <v>187</v>
      </c>
      <c r="C52" s="3" t="s">
        <v>83</v>
      </c>
      <c r="F52" t="s">
        <v>108</v>
      </c>
      <c r="G52" s="7" cm="1">
        <f t="array" ref="G52">INT(planned(F52))</f>
        <v>126</v>
      </c>
      <c r="H52">
        <f>VLOOKUP(G52,Table4[[#All],[Cost Center]:[Client Type]],2,TRUE)</f>
        <v>110</v>
      </c>
      <c r="I52" t="str">
        <f>VLOOKUP(G52,Table4[[#All],[Cost Center]:[Client Type]],3,TRUE)</f>
        <v>New Giza Hospital</v>
      </c>
      <c r="J52" t="str">
        <f>VLOOKUP(G52,Table4[[#All],[Cost Center]:[Client Type]],5,TRUE)</f>
        <v>Osama Mezayn</v>
      </c>
    </row>
    <row r="53" spans="1:10" x14ac:dyDescent="0.25">
      <c r="A53" s="3" t="s">
        <v>239</v>
      </c>
      <c r="B53" s="3">
        <v>188</v>
      </c>
      <c r="C53" s="3" t="s">
        <v>238</v>
      </c>
      <c r="F53" t="s">
        <v>108</v>
      </c>
      <c r="G53" s="7" cm="1">
        <f t="array" ref="G53">INT(planned(F53))</f>
        <v>126</v>
      </c>
      <c r="H53">
        <f>VLOOKUP(G53,Table4[[#All],[Cost Center]:[Client Type]],2,TRUE)</f>
        <v>110</v>
      </c>
      <c r="I53" t="str">
        <f>VLOOKUP(G53,Table4[[#All],[Cost Center]:[Client Type]],3,TRUE)</f>
        <v>New Giza Hospital</v>
      </c>
      <c r="J53" t="str">
        <f>VLOOKUP(G53,Table4[[#All],[Cost Center]:[Client Type]],5,TRUE)</f>
        <v>Osama Mezayn</v>
      </c>
    </row>
    <row r="54" spans="1:10" x14ac:dyDescent="0.25">
      <c r="A54" s="3" t="s">
        <v>569</v>
      </c>
      <c r="B54" s="3">
        <v>158</v>
      </c>
      <c r="C54" s="3" t="s">
        <v>215</v>
      </c>
      <c r="F54" t="s">
        <v>108</v>
      </c>
      <c r="G54" s="7" cm="1">
        <f t="array" ref="G54">INT(planned(F54))</f>
        <v>126</v>
      </c>
      <c r="H54">
        <f>VLOOKUP(G54,Table4[[#All],[Cost Center]:[Client Type]],2,TRUE)</f>
        <v>110</v>
      </c>
      <c r="I54" t="str">
        <f>VLOOKUP(G54,Table4[[#All],[Cost Center]:[Client Type]],3,TRUE)</f>
        <v>New Giza Hospital</v>
      </c>
      <c r="J54" t="str">
        <f>VLOOKUP(G54,Table4[[#All],[Cost Center]:[Client Type]],5,TRUE)</f>
        <v>Osama Mezayn</v>
      </c>
    </row>
    <row r="55" spans="1:10" x14ac:dyDescent="0.25">
      <c r="A55" s="3" t="s">
        <v>116</v>
      </c>
      <c r="B55" s="3">
        <v>175</v>
      </c>
      <c r="C55" s="3" t="s">
        <v>116</v>
      </c>
      <c r="F55" t="s">
        <v>108</v>
      </c>
      <c r="G55" s="7" cm="1">
        <f t="array" ref="G55">INT(planned(F55))</f>
        <v>126</v>
      </c>
      <c r="H55">
        <f>VLOOKUP(G55,Table4[[#All],[Cost Center]:[Client Type]],2,TRUE)</f>
        <v>110</v>
      </c>
      <c r="I55" t="str">
        <f>VLOOKUP(G55,Table4[[#All],[Cost Center]:[Client Type]],3,TRUE)</f>
        <v>New Giza Hospital</v>
      </c>
      <c r="J55" t="str">
        <f>VLOOKUP(G55,Table4[[#All],[Cost Center]:[Client Type]],5,TRUE)</f>
        <v>Osama Mezayn</v>
      </c>
    </row>
    <row r="56" spans="1:10" x14ac:dyDescent="0.25">
      <c r="A56" s="3" t="s">
        <v>570</v>
      </c>
      <c r="B56" s="3">
        <v>122</v>
      </c>
      <c r="C56" s="3" t="s">
        <v>201</v>
      </c>
      <c r="F56" t="s">
        <v>108</v>
      </c>
      <c r="G56" s="7" cm="1">
        <f t="array" ref="G56">INT(planned(F56))</f>
        <v>126</v>
      </c>
      <c r="H56">
        <f>VLOOKUP(G56,Table4[[#All],[Cost Center]:[Client Type]],2,TRUE)</f>
        <v>110</v>
      </c>
      <c r="I56" t="str">
        <f>VLOOKUP(G56,Table4[[#All],[Cost Center]:[Client Type]],3,TRUE)</f>
        <v>New Giza Hospital</v>
      </c>
      <c r="J56" t="str">
        <f>VLOOKUP(G56,Table4[[#All],[Cost Center]:[Client Type]],5,TRUE)</f>
        <v>Osama Mezayn</v>
      </c>
    </row>
    <row r="57" spans="1:10" x14ac:dyDescent="0.25">
      <c r="A57" s="3" t="s">
        <v>319</v>
      </c>
      <c r="B57" s="3" t="s">
        <v>40</v>
      </c>
      <c r="C57" s="3" t="s">
        <v>40</v>
      </c>
      <c r="F57" t="s">
        <v>108</v>
      </c>
      <c r="G57" s="7" cm="1">
        <f t="array" ref="G57">INT(planned(F57))</f>
        <v>126</v>
      </c>
      <c r="H57">
        <f>VLOOKUP(G57,Table4[[#All],[Cost Center]:[Client Type]],2,TRUE)</f>
        <v>110</v>
      </c>
      <c r="I57" t="str">
        <f>VLOOKUP(G57,Table4[[#All],[Cost Center]:[Client Type]],3,TRUE)</f>
        <v>New Giza Hospital</v>
      </c>
      <c r="J57" t="str">
        <f>VLOOKUP(G57,Table4[[#All],[Cost Center]:[Client Type]],5,TRUE)</f>
        <v>Osama Mezayn</v>
      </c>
    </row>
    <row r="58" spans="1:10" x14ac:dyDescent="0.25">
      <c r="A58" s="3" t="s">
        <v>571</v>
      </c>
      <c r="B58" s="3">
        <v>189</v>
      </c>
      <c r="C58" s="3" t="s">
        <v>281</v>
      </c>
      <c r="F58" t="s">
        <v>108</v>
      </c>
      <c r="G58" s="7" cm="1">
        <f t="array" ref="G58">INT(planned(F58))</f>
        <v>126</v>
      </c>
      <c r="H58">
        <f>VLOOKUP(G58,Table4[[#All],[Cost Center]:[Client Type]],2,TRUE)</f>
        <v>110</v>
      </c>
      <c r="I58" t="str">
        <f>VLOOKUP(G58,Table4[[#All],[Cost Center]:[Client Type]],3,TRUE)</f>
        <v>New Giza Hospital</v>
      </c>
      <c r="J58" t="str">
        <f>VLOOKUP(G58,Table4[[#All],[Cost Center]:[Client Type]],5,TRUE)</f>
        <v>Osama Mezayn</v>
      </c>
    </row>
    <row r="59" spans="1:10" x14ac:dyDescent="0.25">
      <c r="A59" s="3" t="s">
        <v>572</v>
      </c>
      <c r="B59" s="3">
        <v>130</v>
      </c>
      <c r="C59" s="3" t="s">
        <v>184</v>
      </c>
      <c r="F59" t="s">
        <v>108</v>
      </c>
      <c r="G59" s="7" cm="1">
        <f t="array" ref="G59">INT(planned(F59))</f>
        <v>126</v>
      </c>
      <c r="H59">
        <f>VLOOKUP(G59,Table4[[#All],[Cost Center]:[Client Type]],2,TRUE)</f>
        <v>110</v>
      </c>
      <c r="I59" t="str">
        <f>VLOOKUP(G59,Table4[[#All],[Cost Center]:[Client Type]],3,TRUE)</f>
        <v>New Giza Hospital</v>
      </c>
      <c r="J59" t="str">
        <f>VLOOKUP(G59,Table4[[#All],[Cost Center]:[Client Type]],5,TRUE)</f>
        <v>Osama Mezayn</v>
      </c>
    </row>
    <row r="60" spans="1:10" x14ac:dyDescent="0.25">
      <c r="A60" s="3" t="s">
        <v>573</v>
      </c>
      <c r="B60" s="3">
        <v>152</v>
      </c>
      <c r="C60" s="3" t="s">
        <v>220</v>
      </c>
      <c r="F60" t="s">
        <v>108</v>
      </c>
      <c r="G60" s="7" cm="1">
        <f t="array" ref="G60">INT(planned(F60))</f>
        <v>126</v>
      </c>
      <c r="H60">
        <f>VLOOKUP(G60,Table4[[#All],[Cost Center]:[Client Type]],2,TRUE)</f>
        <v>110</v>
      </c>
      <c r="I60" t="str">
        <f>VLOOKUP(G60,Table4[[#All],[Cost Center]:[Client Type]],3,TRUE)</f>
        <v>New Giza Hospital</v>
      </c>
      <c r="J60" t="str">
        <f>VLOOKUP(G60,Table4[[#All],[Cost Center]:[Client Type]],5,TRUE)</f>
        <v>Osama Mezayn</v>
      </c>
    </row>
    <row r="61" spans="1:10" x14ac:dyDescent="0.25">
      <c r="A61" s="3" t="s">
        <v>574</v>
      </c>
      <c r="B61" s="3">
        <v>167</v>
      </c>
      <c r="C61" s="3" t="s">
        <v>233</v>
      </c>
      <c r="F61" t="s">
        <v>108</v>
      </c>
      <c r="G61" s="7" cm="1">
        <f t="array" ref="G61">INT(planned(F61))</f>
        <v>126</v>
      </c>
      <c r="H61">
        <f>VLOOKUP(G61,Table4[[#All],[Cost Center]:[Client Type]],2,TRUE)</f>
        <v>110</v>
      </c>
      <c r="I61" t="str">
        <f>VLOOKUP(G61,Table4[[#All],[Cost Center]:[Client Type]],3,TRUE)</f>
        <v>New Giza Hospital</v>
      </c>
      <c r="J61" t="str">
        <f>VLOOKUP(G61,Table4[[#All],[Cost Center]:[Client Type]],5,TRUE)</f>
        <v>Osama Mezayn</v>
      </c>
    </row>
    <row r="62" spans="1:10" x14ac:dyDescent="0.25">
      <c r="A62" s="3" t="s">
        <v>575</v>
      </c>
      <c r="B62" s="3">
        <v>168</v>
      </c>
      <c r="C62" s="3" t="s">
        <v>226</v>
      </c>
      <c r="F62" t="s">
        <v>108</v>
      </c>
      <c r="G62" s="7" cm="1">
        <f t="array" ref="G62">INT(planned(F62))</f>
        <v>126</v>
      </c>
      <c r="H62">
        <f>VLOOKUP(G62,Table4[[#All],[Cost Center]:[Client Type]],2,TRUE)</f>
        <v>110</v>
      </c>
      <c r="I62" t="str">
        <f>VLOOKUP(G62,Table4[[#All],[Cost Center]:[Client Type]],3,TRUE)</f>
        <v>New Giza Hospital</v>
      </c>
      <c r="J62" t="str">
        <f>VLOOKUP(G62,Table4[[#All],[Cost Center]:[Client Type]],5,TRUE)</f>
        <v>Osama Mezayn</v>
      </c>
    </row>
    <row r="63" spans="1:10" x14ac:dyDescent="0.25">
      <c r="A63" s="3" t="s">
        <v>576</v>
      </c>
      <c r="B63" s="3">
        <v>169</v>
      </c>
      <c r="C63" s="3" t="s">
        <v>223</v>
      </c>
      <c r="F63" t="s">
        <v>108</v>
      </c>
      <c r="G63" s="7" cm="1">
        <f t="array" ref="G63">INT(planned(F63))</f>
        <v>126</v>
      </c>
      <c r="H63">
        <f>VLOOKUP(G63,Table4[[#All],[Cost Center]:[Client Type]],2,TRUE)</f>
        <v>110</v>
      </c>
      <c r="I63" t="str">
        <f>VLOOKUP(G63,Table4[[#All],[Cost Center]:[Client Type]],3,TRUE)</f>
        <v>New Giza Hospital</v>
      </c>
      <c r="J63" t="str">
        <f>VLOOKUP(G63,Table4[[#All],[Cost Center]:[Client Type]],5,TRUE)</f>
        <v>Osama Mezayn</v>
      </c>
    </row>
    <row r="64" spans="1:10" x14ac:dyDescent="0.25">
      <c r="A64" s="3" t="s">
        <v>577</v>
      </c>
      <c r="B64" s="3">
        <v>143</v>
      </c>
      <c r="C64" s="3" t="s">
        <v>169</v>
      </c>
      <c r="F64" t="s">
        <v>108</v>
      </c>
      <c r="G64" s="7" cm="1">
        <f t="array" ref="G64">INT(planned(F64))</f>
        <v>126</v>
      </c>
      <c r="H64">
        <f>VLOOKUP(G64,Table4[[#All],[Cost Center]:[Client Type]],2,TRUE)</f>
        <v>110</v>
      </c>
      <c r="I64" t="str">
        <f>VLOOKUP(G64,Table4[[#All],[Cost Center]:[Client Type]],3,TRUE)</f>
        <v>New Giza Hospital</v>
      </c>
      <c r="J64" t="str">
        <f>VLOOKUP(G64,Table4[[#All],[Cost Center]:[Client Type]],5,TRUE)</f>
        <v>Osama Mezayn</v>
      </c>
    </row>
    <row r="65" spans="1:10" x14ac:dyDescent="0.25">
      <c r="A65" s="3" t="s">
        <v>578</v>
      </c>
      <c r="B65" s="3">
        <v>157</v>
      </c>
      <c r="C65" s="3" t="s">
        <v>209</v>
      </c>
      <c r="F65" t="s">
        <v>108</v>
      </c>
      <c r="G65" s="7" cm="1">
        <f t="array" ref="G65">INT(planned(F65))</f>
        <v>126</v>
      </c>
      <c r="H65">
        <f>VLOOKUP(G65,Table4[[#All],[Cost Center]:[Client Type]],2,TRUE)</f>
        <v>110</v>
      </c>
      <c r="I65" t="str">
        <f>VLOOKUP(G65,Table4[[#All],[Cost Center]:[Client Type]],3,TRUE)</f>
        <v>New Giza Hospital</v>
      </c>
      <c r="J65" t="str">
        <f>VLOOKUP(G65,Table4[[#All],[Cost Center]:[Client Type]],5,TRUE)</f>
        <v>Osama Mezayn</v>
      </c>
    </row>
    <row r="66" spans="1:10" x14ac:dyDescent="0.25">
      <c r="A66" s="3" t="s">
        <v>579</v>
      </c>
      <c r="B66" s="3">
        <v>166</v>
      </c>
      <c r="C66" s="3" t="s">
        <v>212</v>
      </c>
      <c r="F66" t="s">
        <v>108</v>
      </c>
      <c r="G66" s="7" cm="1">
        <f t="array" ref="G66">INT(planned(F66))</f>
        <v>126</v>
      </c>
      <c r="H66">
        <f>VLOOKUP(G66,Table4[[#All],[Cost Center]:[Client Type]],2,TRUE)</f>
        <v>110</v>
      </c>
      <c r="I66" t="str">
        <f>VLOOKUP(G66,Table4[[#All],[Cost Center]:[Client Type]],3,TRUE)</f>
        <v>New Giza Hospital</v>
      </c>
      <c r="J66" t="str">
        <f>VLOOKUP(G66,Table4[[#All],[Cost Center]:[Client Type]],5,TRUE)</f>
        <v>Osama Mezayn</v>
      </c>
    </row>
    <row r="67" spans="1:10" x14ac:dyDescent="0.25">
      <c r="A67" s="3" t="s">
        <v>585</v>
      </c>
      <c r="B67" s="3">
        <v>159</v>
      </c>
      <c r="C67" s="3" t="s">
        <v>125</v>
      </c>
      <c r="F67" t="s">
        <v>108</v>
      </c>
      <c r="G67" s="7" cm="1">
        <f t="array" ref="G67">INT(planned(F67))</f>
        <v>126</v>
      </c>
      <c r="H67">
        <f>VLOOKUP(G67,Table4[[#All],[Cost Center]:[Client Type]],2,TRUE)</f>
        <v>110</v>
      </c>
      <c r="I67" t="str">
        <f>VLOOKUP(G67,Table4[[#All],[Cost Center]:[Client Type]],3,TRUE)</f>
        <v>New Giza Hospital</v>
      </c>
      <c r="J67" t="str">
        <f>VLOOKUP(G67,Table4[[#All],[Cost Center]:[Client Type]],5,TRUE)</f>
        <v>Osama Mezayn</v>
      </c>
    </row>
    <row r="68" spans="1:10" x14ac:dyDescent="0.25">
      <c r="F68" t="s">
        <v>108</v>
      </c>
      <c r="G68" s="7" cm="1">
        <f t="array" ref="G68">INT(planned(F68))</f>
        <v>126</v>
      </c>
      <c r="H68">
        <f>VLOOKUP(G68,Table4[[#All],[Cost Center]:[Client Type]],2,TRUE)</f>
        <v>110</v>
      </c>
      <c r="I68" t="str">
        <f>VLOOKUP(G68,Table4[[#All],[Cost Center]:[Client Type]],3,TRUE)</f>
        <v>New Giza Hospital</v>
      </c>
      <c r="J68" t="str">
        <f>VLOOKUP(G68,Table4[[#All],[Cost Center]:[Client Type]],5,TRUE)</f>
        <v>Osama Mezayn</v>
      </c>
    </row>
    <row r="69" spans="1:10" x14ac:dyDescent="0.25">
      <c r="F69" t="s">
        <v>108</v>
      </c>
      <c r="G69" s="7" cm="1">
        <f t="array" ref="G69">INT(planned(F69))</f>
        <v>126</v>
      </c>
      <c r="H69">
        <f>VLOOKUP(G69,Table4[[#All],[Cost Center]:[Client Type]],2,TRUE)</f>
        <v>110</v>
      </c>
      <c r="I69" t="str">
        <f>VLOOKUP(G69,Table4[[#All],[Cost Center]:[Client Type]],3,TRUE)</f>
        <v>New Giza Hospital</v>
      </c>
      <c r="J69" t="str">
        <f>VLOOKUP(G69,Table4[[#All],[Cost Center]:[Client Type]],5,TRUE)</f>
        <v>Osama Mezayn</v>
      </c>
    </row>
    <row r="70" spans="1:10" x14ac:dyDescent="0.25">
      <c r="F70" t="s">
        <v>108</v>
      </c>
      <c r="G70" s="7" cm="1">
        <f t="array" ref="G70">INT(planned(F70))</f>
        <v>126</v>
      </c>
      <c r="H70">
        <f>VLOOKUP(G70,Table4[[#All],[Cost Center]:[Client Type]],2,TRUE)</f>
        <v>110</v>
      </c>
      <c r="I70" t="str">
        <f>VLOOKUP(G70,Table4[[#All],[Cost Center]:[Client Type]],3,TRUE)</f>
        <v>New Giza Hospital</v>
      </c>
      <c r="J70" t="str">
        <f>VLOOKUP(G70,Table4[[#All],[Cost Center]:[Client Type]],5,TRUE)</f>
        <v>Osama Mezayn</v>
      </c>
    </row>
    <row r="71" spans="1:10" x14ac:dyDescent="0.25">
      <c r="F71" t="s">
        <v>108</v>
      </c>
      <c r="G71" s="7" cm="1">
        <f t="array" ref="G71">INT(planned(F71))</f>
        <v>126</v>
      </c>
      <c r="H71">
        <f>VLOOKUP(G71,Table4[[#All],[Cost Center]:[Client Type]],2,TRUE)</f>
        <v>110</v>
      </c>
      <c r="I71" t="str">
        <f>VLOOKUP(G71,Table4[[#All],[Cost Center]:[Client Type]],3,TRUE)</f>
        <v>New Giza Hospital</v>
      </c>
      <c r="J71" t="str">
        <f>VLOOKUP(G71,Table4[[#All],[Cost Center]:[Client Type]],5,TRUE)</f>
        <v>Osama Mezayn</v>
      </c>
    </row>
    <row r="72" spans="1:10" x14ac:dyDescent="0.25">
      <c r="F72" t="s">
        <v>108</v>
      </c>
      <c r="G72" s="7" cm="1">
        <f t="array" ref="G72">INT(planned(F72))</f>
        <v>126</v>
      </c>
      <c r="H72">
        <f>VLOOKUP(G72,Table4[[#All],[Cost Center]:[Client Type]],2,TRUE)</f>
        <v>110</v>
      </c>
      <c r="I72" t="str">
        <f>VLOOKUP(G72,Table4[[#All],[Cost Center]:[Client Type]],3,TRUE)</f>
        <v>New Giza Hospital</v>
      </c>
      <c r="J72" t="str">
        <f>VLOOKUP(G72,Table4[[#All],[Cost Center]:[Client Type]],5,TRUE)</f>
        <v>Osama Mezayn</v>
      </c>
    </row>
    <row r="73" spans="1:10" x14ac:dyDescent="0.25">
      <c r="F73" t="s">
        <v>108</v>
      </c>
      <c r="G73" s="7" cm="1">
        <f t="array" ref="G73">INT(planned(F73))</f>
        <v>126</v>
      </c>
      <c r="H73">
        <f>VLOOKUP(G73,Table4[[#All],[Cost Center]:[Client Type]],2,TRUE)</f>
        <v>110</v>
      </c>
      <c r="I73" t="str">
        <f>VLOOKUP(G73,Table4[[#All],[Cost Center]:[Client Type]],3,TRUE)</f>
        <v>New Giza Hospital</v>
      </c>
      <c r="J73" t="str">
        <f>VLOOKUP(G73,Table4[[#All],[Cost Center]:[Client Type]],5,TRUE)</f>
        <v>Osama Mezayn</v>
      </c>
    </row>
    <row r="74" spans="1:10" x14ac:dyDescent="0.25">
      <c r="F74" t="s">
        <v>108</v>
      </c>
      <c r="G74" s="7" cm="1">
        <f t="array" ref="G74">INT(planned(F74))</f>
        <v>126</v>
      </c>
      <c r="H74">
        <f>VLOOKUP(G74,Table4[[#All],[Cost Center]:[Client Type]],2,TRUE)</f>
        <v>110</v>
      </c>
      <c r="I74" t="str">
        <f>VLOOKUP(G74,Table4[[#All],[Cost Center]:[Client Type]],3,TRUE)</f>
        <v>New Giza Hospital</v>
      </c>
      <c r="J74" t="str">
        <f>VLOOKUP(G74,Table4[[#All],[Cost Center]:[Client Type]],5,TRUE)</f>
        <v>Osama Mezayn</v>
      </c>
    </row>
    <row r="75" spans="1:10" x14ac:dyDescent="0.25">
      <c r="F75" t="s">
        <v>108</v>
      </c>
      <c r="G75" s="7" cm="1">
        <f t="array" ref="G75">INT(planned(F75))</f>
        <v>126</v>
      </c>
      <c r="H75">
        <f>VLOOKUP(G75,Table4[[#All],[Cost Center]:[Client Type]],2,TRUE)</f>
        <v>110</v>
      </c>
      <c r="I75" t="str">
        <f>VLOOKUP(G75,Table4[[#All],[Cost Center]:[Client Type]],3,TRUE)</f>
        <v>New Giza Hospital</v>
      </c>
      <c r="J75" t="str">
        <f>VLOOKUP(G75,Table4[[#All],[Cost Center]:[Client Type]],5,TRUE)</f>
        <v>Osama Mezayn</v>
      </c>
    </row>
    <row r="76" spans="1:10" x14ac:dyDescent="0.25">
      <c r="F76" t="s">
        <v>108</v>
      </c>
      <c r="G76" s="7" cm="1">
        <f t="array" ref="G76">INT(planned(F76))</f>
        <v>126</v>
      </c>
      <c r="H76">
        <f>VLOOKUP(G76,Table4[[#All],[Cost Center]:[Client Type]],2,TRUE)</f>
        <v>110</v>
      </c>
      <c r="I76" t="str">
        <f>VLOOKUP(G76,Table4[[#All],[Cost Center]:[Client Type]],3,TRUE)</f>
        <v>New Giza Hospital</v>
      </c>
      <c r="J76" t="str">
        <f>VLOOKUP(G76,Table4[[#All],[Cost Center]:[Client Type]],5,TRUE)</f>
        <v>Osama Mezayn</v>
      </c>
    </row>
    <row r="77" spans="1:10" x14ac:dyDescent="0.25">
      <c r="F77" t="s">
        <v>108</v>
      </c>
      <c r="G77" s="7" cm="1">
        <f t="array" ref="G77">INT(planned(F77))</f>
        <v>126</v>
      </c>
      <c r="H77">
        <f>VLOOKUP(G77,Table4[[#All],[Cost Center]:[Client Type]],2,TRUE)</f>
        <v>110</v>
      </c>
      <c r="I77" t="str">
        <f>VLOOKUP(G77,Table4[[#All],[Cost Center]:[Client Type]],3,TRUE)</f>
        <v>New Giza Hospital</v>
      </c>
      <c r="J77" t="str">
        <f>VLOOKUP(G77,Table4[[#All],[Cost Center]:[Client Type]],5,TRUE)</f>
        <v>Osama Mezayn</v>
      </c>
    </row>
    <row r="78" spans="1:10" x14ac:dyDescent="0.25">
      <c r="F78" t="s">
        <v>108</v>
      </c>
      <c r="G78" s="7" cm="1">
        <f t="array" ref="G78">INT(planned(F78))</f>
        <v>126</v>
      </c>
      <c r="H78">
        <f>VLOOKUP(G78,Table4[[#All],[Cost Center]:[Client Type]],2,TRUE)</f>
        <v>110</v>
      </c>
      <c r="I78" t="str">
        <f>VLOOKUP(G78,Table4[[#All],[Cost Center]:[Client Type]],3,TRUE)</f>
        <v>New Giza Hospital</v>
      </c>
      <c r="J78" t="str">
        <f>VLOOKUP(G78,Table4[[#All],[Cost Center]:[Client Type]],5,TRUE)</f>
        <v>Osama Mezayn</v>
      </c>
    </row>
    <row r="79" spans="1:10" x14ac:dyDescent="0.25">
      <c r="F79" t="s">
        <v>108</v>
      </c>
      <c r="G79" s="7" cm="1">
        <f t="array" ref="G79">INT(planned(F79))</f>
        <v>126</v>
      </c>
      <c r="H79">
        <f>VLOOKUP(G79,Table4[[#All],[Cost Center]:[Client Type]],2,TRUE)</f>
        <v>110</v>
      </c>
      <c r="I79" t="str">
        <f>VLOOKUP(G79,Table4[[#All],[Cost Center]:[Client Type]],3,TRUE)</f>
        <v>New Giza Hospital</v>
      </c>
      <c r="J79" t="str">
        <f>VLOOKUP(G79,Table4[[#All],[Cost Center]:[Client Type]],5,TRUE)</f>
        <v>Osama Mezayn</v>
      </c>
    </row>
    <row r="80" spans="1:10" x14ac:dyDescent="0.25">
      <c r="F80" t="s">
        <v>108</v>
      </c>
      <c r="G80" s="7" cm="1">
        <f t="array" ref="G80">INT(planned(F80))</f>
        <v>126</v>
      </c>
      <c r="H80">
        <f>VLOOKUP(G80,Table4[[#All],[Cost Center]:[Client Type]],2,TRUE)</f>
        <v>110</v>
      </c>
      <c r="I80" t="str">
        <f>VLOOKUP(G80,Table4[[#All],[Cost Center]:[Client Type]],3,TRUE)</f>
        <v>New Giza Hospital</v>
      </c>
      <c r="J80" t="str">
        <f>VLOOKUP(G80,Table4[[#All],[Cost Center]:[Client Type]],5,TRUE)</f>
        <v>Osama Mezayn</v>
      </c>
    </row>
    <row r="81" spans="6:10" x14ac:dyDescent="0.25">
      <c r="F81" t="s">
        <v>108</v>
      </c>
      <c r="G81" s="7" cm="1">
        <f t="array" ref="G81">INT(planned(F81))</f>
        <v>126</v>
      </c>
      <c r="H81">
        <f>VLOOKUP(G81,Table4[[#All],[Cost Center]:[Client Type]],2,TRUE)</f>
        <v>110</v>
      </c>
      <c r="I81" t="str">
        <f>VLOOKUP(G81,Table4[[#All],[Cost Center]:[Client Type]],3,TRUE)</f>
        <v>New Giza Hospital</v>
      </c>
      <c r="J81" t="str">
        <f>VLOOKUP(G81,Table4[[#All],[Cost Center]:[Client Type]],5,TRUE)</f>
        <v>Osama Mezayn</v>
      </c>
    </row>
    <row r="82" spans="6:10" x14ac:dyDescent="0.25">
      <c r="F82" t="s">
        <v>108</v>
      </c>
      <c r="G82" s="7" cm="1">
        <f t="array" ref="G82">INT(planned(F82))</f>
        <v>126</v>
      </c>
      <c r="H82">
        <f>VLOOKUP(G82,Table4[[#All],[Cost Center]:[Client Type]],2,TRUE)</f>
        <v>110</v>
      </c>
      <c r="I82" t="str">
        <f>VLOOKUP(G82,Table4[[#All],[Cost Center]:[Client Type]],3,TRUE)</f>
        <v>New Giza Hospital</v>
      </c>
      <c r="J82" t="str">
        <f>VLOOKUP(G82,Table4[[#All],[Cost Center]:[Client Type]],5,TRUE)</f>
        <v>Osama Mezayn</v>
      </c>
    </row>
    <row r="83" spans="6:10" x14ac:dyDescent="0.25">
      <c r="F83" t="s">
        <v>108</v>
      </c>
      <c r="G83" s="7" cm="1">
        <f t="array" ref="G83">INT(planned(F83))</f>
        <v>126</v>
      </c>
      <c r="H83">
        <f>VLOOKUP(G83,Table4[[#All],[Cost Center]:[Client Type]],2,TRUE)</f>
        <v>110</v>
      </c>
      <c r="I83" t="str">
        <f>VLOOKUP(G83,Table4[[#All],[Cost Center]:[Client Type]],3,TRUE)</f>
        <v>New Giza Hospital</v>
      </c>
      <c r="J83" t="str">
        <f>VLOOKUP(G83,Table4[[#All],[Cost Center]:[Client Type]],5,TRUE)</f>
        <v>Osama Mezayn</v>
      </c>
    </row>
    <row r="84" spans="6:10" x14ac:dyDescent="0.25">
      <c r="F84" t="s">
        <v>108</v>
      </c>
      <c r="G84" s="7" cm="1">
        <f t="array" ref="G84">INT(planned(F84))</f>
        <v>126</v>
      </c>
      <c r="H84">
        <f>VLOOKUP(G84,Table4[[#All],[Cost Center]:[Client Type]],2,TRUE)</f>
        <v>110</v>
      </c>
      <c r="I84" t="str">
        <f>VLOOKUP(G84,Table4[[#All],[Cost Center]:[Client Type]],3,TRUE)</f>
        <v>New Giza Hospital</v>
      </c>
      <c r="J84" t="str">
        <f>VLOOKUP(G84,Table4[[#All],[Cost Center]:[Client Type]],5,TRUE)</f>
        <v>Osama Mezayn</v>
      </c>
    </row>
    <row r="85" spans="6:10" x14ac:dyDescent="0.25">
      <c r="F85" t="s">
        <v>108</v>
      </c>
      <c r="G85" s="7" cm="1">
        <f t="array" ref="G85">INT(planned(F85))</f>
        <v>126</v>
      </c>
      <c r="H85">
        <f>VLOOKUP(G85,Table4[[#All],[Cost Center]:[Client Type]],2,TRUE)</f>
        <v>110</v>
      </c>
      <c r="I85" t="str">
        <f>VLOOKUP(G85,Table4[[#All],[Cost Center]:[Client Type]],3,TRUE)</f>
        <v>New Giza Hospital</v>
      </c>
      <c r="J85" t="str">
        <f>VLOOKUP(G85,Table4[[#All],[Cost Center]:[Client Type]],5,TRUE)</f>
        <v>Osama Mezayn</v>
      </c>
    </row>
    <row r="86" spans="6:10" x14ac:dyDescent="0.25">
      <c r="F86" t="s">
        <v>108</v>
      </c>
      <c r="G86" s="7" cm="1">
        <f t="array" ref="G86">INT(planned(F86))</f>
        <v>126</v>
      </c>
      <c r="H86">
        <f>VLOOKUP(G86,Table4[[#All],[Cost Center]:[Client Type]],2,TRUE)</f>
        <v>110</v>
      </c>
      <c r="I86" t="str">
        <f>VLOOKUP(G86,Table4[[#All],[Cost Center]:[Client Type]],3,TRUE)</f>
        <v>New Giza Hospital</v>
      </c>
      <c r="J86" t="str">
        <f>VLOOKUP(G86,Table4[[#All],[Cost Center]:[Client Type]],5,TRUE)</f>
        <v>Osama Mezayn</v>
      </c>
    </row>
    <row r="87" spans="6:10" x14ac:dyDescent="0.25">
      <c r="F87" t="s">
        <v>108</v>
      </c>
      <c r="G87" s="7" cm="1">
        <f t="array" ref="G87">INT(planned(F87))</f>
        <v>126</v>
      </c>
      <c r="H87">
        <f>VLOOKUP(G87,Table4[[#All],[Cost Center]:[Client Type]],2,TRUE)</f>
        <v>110</v>
      </c>
      <c r="I87" t="str">
        <f>VLOOKUP(G87,Table4[[#All],[Cost Center]:[Client Type]],3,TRUE)</f>
        <v>New Giza Hospital</v>
      </c>
      <c r="J87" t="str">
        <f>VLOOKUP(G87,Table4[[#All],[Cost Center]:[Client Type]],5,TRUE)</f>
        <v>Osama Mezayn</v>
      </c>
    </row>
    <row r="88" spans="6:10" x14ac:dyDescent="0.25">
      <c r="F88" t="s">
        <v>108</v>
      </c>
      <c r="G88" s="7" cm="1">
        <f t="array" ref="G88">INT(planned(F88))</f>
        <v>126</v>
      </c>
      <c r="H88">
        <f>VLOOKUP(G88,Table4[[#All],[Cost Center]:[Client Type]],2,TRUE)</f>
        <v>110</v>
      </c>
      <c r="I88" t="str">
        <f>VLOOKUP(G88,Table4[[#All],[Cost Center]:[Client Type]],3,TRUE)</f>
        <v>New Giza Hospital</v>
      </c>
      <c r="J88" t="str">
        <f>VLOOKUP(G88,Table4[[#All],[Cost Center]:[Client Type]],5,TRUE)</f>
        <v>Osama Mezayn</v>
      </c>
    </row>
    <row r="89" spans="6:10" x14ac:dyDescent="0.25">
      <c r="F89" t="s">
        <v>108</v>
      </c>
      <c r="G89" s="7" cm="1">
        <f t="array" ref="G89">INT(planned(F89))</f>
        <v>126</v>
      </c>
      <c r="H89">
        <f>VLOOKUP(G89,Table4[[#All],[Cost Center]:[Client Type]],2,TRUE)</f>
        <v>110</v>
      </c>
      <c r="I89" t="str">
        <f>VLOOKUP(G89,Table4[[#All],[Cost Center]:[Client Type]],3,TRUE)</f>
        <v>New Giza Hospital</v>
      </c>
      <c r="J89" t="str">
        <f>VLOOKUP(G89,Table4[[#All],[Cost Center]:[Client Type]],5,TRUE)</f>
        <v>Osama Mezayn</v>
      </c>
    </row>
    <row r="90" spans="6:10" x14ac:dyDescent="0.25">
      <c r="F90" t="s">
        <v>108</v>
      </c>
      <c r="G90" s="7" cm="1">
        <f t="array" ref="G90">INT(planned(F90))</f>
        <v>126</v>
      </c>
      <c r="H90">
        <f>VLOOKUP(G90,Table4[[#All],[Cost Center]:[Client Type]],2,TRUE)</f>
        <v>110</v>
      </c>
      <c r="I90" t="str">
        <f>VLOOKUP(G90,Table4[[#All],[Cost Center]:[Client Type]],3,TRUE)</f>
        <v>New Giza Hospital</v>
      </c>
      <c r="J90" t="str">
        <f>VLOOKUP(G90,Table4[[#All],[Cost Center]:[Client Type]],5,TRUE)</f>
        <v>Osama Mezayn</v>
      </c>
    </row>
    <row r="91" spans="6:10" x14ac:dyDescent="0.25">
      <c r="F91" t="s">
        <v>108</v>
      </c>
      <c r="G91" s="7" cm="1">
        <f t="array" ref="G91">INT(planned(F91))</f>
        <v>126</v>
      </c>
      <c r="H91">
        <f>VLOOKUP(G91,Table4[[#All],[Cost Center]:[Client Type]],2,TRUE)</f>
        <v>110</v>
      </c>
      <c r="I91" t="str">
        <f>VLOOKUP(G91,Table4[[#All],[Cost Center]:[Client Type]],3,TRUE)</f>
        <v>New Giza Hospital</v>
      </c>
      <c r="J91" t="str">
        <f>VLOOKUP(G91,Table4[[#All],[Cost Center]:[Client Type]],5,TRUE)</f>
        <v>Osama Mezayn</v>
      </c>
    </row>
    <row r="92" spans="6:10" x14ac:dyDescent="0.25">
      <c r="F92" t="s">
        <v>108</v>
      </c>
      <c r="G92" s="7" cm="1">
        <f t="array" ref="G92">INT(planned(F92))</f>
        <v>126</v>
      </c>
      <c r="H92">
        <f>VLOOKUP(G92,Table4[[#All],[Cost Center]:[Client Type]],2,TRUE)</f>
        <v>110</v>
      </c>
      <c r="I92" t="str">
        <f>VLOOKUP(G92,Table4[[#All],[Cost Center]:[Client Type]],3,TRUE)</f>
        <v>New Giza Hospital</v>
      </c>
      <c r="J92" t="str">
        <f>VLOOKUP(G92,Table4[[#All],[Cost Center]:[Client Type]],5,TRUE)</f>
        <v>Osama Mezayn</v>
      </c>
    </row>
    <row r="93" spans="6:10" x14ac:dyDescent="0.25">
      <c r="F93" t="s">
        <v>108</v>
      </c>
      <c r="G93" s="7" cm="1">
        <f t="array" ref="G93">INT(planned(F93))</f>
        <v>126</v>
      </c>
      <c r="H93">
        <f>VLOOKUP(G93,Table4[[#All],[Cost Center]:[Client Type]],2,TRUE)</f>
        <v>110</v>
      </c>
      <c r="I93" t="str">
        <f>VLOOKUP(G93,Table4[[#All],[Cost Center]:[Client Type]],3,TRUE)</f>
        <v>New Giza Hospital</v>
      </c>
      <c r="J93" t="str">
        <f>VLOOKUP(G93,Table4[[#All],[Cost Center]:[Client Type]],5,TRUE)</f>
        <v>Osama Mezayn</v>
      </c>
    </row>
    <row r="94" spans="6:10" x14ac:dyDescent="0.25">
      <c r="F94" t="s">
        <v>108</v>
      </c>
      <c r="G94" s="7" cm="1">
        <f t="array" ref="G94">INT(planned(F94))</f>
        <v>126</v>
      </c>
      <c r="H94">
        <f>VLOOKUP(G94,Table4[[#All],[Cost Center]:[Client Type]],2,TRUE)</f>
        <v>110</v>
      </c>
      <c r="I94" t="str">
        <f>VLOOKUP(G94,Table4[[#All],[Cost Center]:[Client Type]],3,TRUE)</f>
        <v>New Giza Hospital</v>
      </c>
      <c r="J94" t="str">
        <f>VLOOKUP(G94,Table4[[#All],[Cost Center]:[Client Type]],5,TRUE)</f>
        <v>Osama Mezayn</v>
      </c>
    </row>
    <row r="95" spans="6:10" x14ac:dyDescent="0.25">
      <c r="F95" t="s">
        <v>108</v>
      </c>
      <c r="G95" s="7" cm="1">
        <f t="array" ref="G95">INT(planned(F95))</f>
        <v>126</v>
      </c>
      <c r="H95">
        <f>VLOOKUP(G95,Table4[[#All],[Cost Center]:[Client Type]],2,TRUE)</f>
        <v>110</v>
      </c>
      <c r="I95" t="str">
        <f>VLOOKUP(G95,Table4[[#All],[Cost Center]:[Client Type]],3,TRUE)</f>
        <v>New Giza Hospital</v>
      </c>
      <c r="J95" t="str">
        <f>VLOOKUP(G95,Table4[[#All],[Cost Center]:[Client Type]],5,TRUE)</f>
        <v>Osama Mezayn</v>
      </c>
    </row>
    <row r="96" spans="6:10" x14ac:dyDescent="0.25">
      <c r="F96" t="s">
        <v>108</v>
      </c>
      <c r="G96" s="7" cm="1">
        <f t="array" ref="G96">INT(planned(F96))</f>
        <v>126</v>
      </c>
      <c r="H96">
        <f>VLOOKUP(G96,Table4[[#All],[Cost Center]:[Client Type]],2,TRUE)</f>
        <v>110</v>
      </c>
      <c r="I96" t="str">
        <f>VLOOKUP(G96,Table4[[#All],[Cost Center]:[Client Type]],3,TRUE)</f>
        <v>New Giza Hospital</v>
      </c>
      <c r="J96" t="str">
        <f>VLOOKUP(G96,Table4[[#All],[Cost Center]:[Client Type]],5,TRUE)</f>
        <v>Osama Mezayn</v>
      </c>
    </row>
    <row r="97" spans="6:10" x14ac:dyDescent="0.25">
      <c r="F97" t="s">
        <v>108</v>
      </c>
      <c r="G97" s="7" cm="1">
        <f t="array" ref="G97">INT(planned(F97))</f>
        <v>126</v>
      </c>
      <c r="H97">
        <f>VLOOKUP(G97,Table4[[#All],[Cost Center]:[Client Type]],2,TRUE)</f>
        <v>110</v>
      </c>
      <c r="I97" t="str">
        <f>VLOOKUP(G97,Table4[[#All],[Cost Center]:[Client Type]],3,TRUE)</f>
        <v>New Giza Hospital</v>
      </c>
      <c r="J97" t="str">
        <f>VLOOKUP(G97,Table4[[#All],[Cost Center]:[Client Type]],5,TRUE)</f>
        <v>Osama Mezayn</v>
      </c>
    </row>
    <row r="98" spans="6:10" x14ac:dyDescent="0.25">
      <c r="F98" t="s">
        <v>108</v>
      </c>
      <c r="G98" s="7" cm="1">
        <f t="array" ref="G98">INT(planned(F98))</f>
        <v>126</v>
      </c>
      <c r="H98">
        <f>VLOOKUP(G98,Table4[[#All],[Cost Center]:[Client Type]],2,TRUE)</f>
        <v>110</v>
      </c>
      <c r="I98" t="str">
        <f>VLOOKUP(G98,Table4[[#All],[Cost Center]:[Client Type]],3,TRUE)</f>
        <v>New Giza Hospital</v>
      </c>
      <c r="J98" t="str">
        <f>VLOOKUP(G98,Table4[[#All],[Cost Center]:[Client Type]],5,TRUE)</f>
        <v>Osama Mezayn</v>
      </c>
    </row>
    <row r="99" spans="6:10" x14ac:dyDescent="0.25">
      <c r="F99" t="s">
        <v>108</v>
      </c>
      <c r="G99" s="7" cm="1">
        <f t="array" ref="G99">INT(planned(F99))</f>
        <v>126</v>
      </c>
      <c r="H99">
        <f>VLOOKUP(G99,Table4[[#All],[Cost Center]:[Client Type]],2,TRUE)</f>
        <v>110</v>
      </c>
      <c r="I99" t="str">
        <f>VLOOKUP(G99,Table4[[#All],[Cost Center]:[Client Type]],3,TRUE)</f>
        <v>New Giza Hospital</v>
      </c>
      <c r="J99" t="str">
        <f>VLOOKUP(G99,Table4[[#All],[Cost Center]:[Client Type]],5,TRUE)</f>
        <v>Osama Mezayn</v>
      </c>
    </row>
    <row r="100" spans="6:10" x14ac:dyDescent="0.25">
      <c r="F100" t="s">
        <v>108</v>
      </c>
      <c r="G100" s="7" cm="1">
        <f t="array" ref="G100">INT(planned(F100))</f>
        <v>126</v>
      </c>
      <c r="H100">
        <f>VLOOKUP(G100,Table4[[#All],[Cost Center]:[Client Type]],2,TRUE)</f>
        <v>110</v>
      </c>
      <c r="I100" t="str">
        <f>VLOOKUP(G100,Table4[[#All],[Cost Center]:[Client Type]],3,TRUE)</f>
        <v>New Giza Hospital</v>
      </c>
      <c r="J100" t="str">
        <f>VLOOKUP(G100,Table4[[#All],[Cost Center]:[Client Type]],5,TRUE)</f>
        <v>Osama Mezayn</v>
      </c>
    </row>
    <row r="101" spans="6:10" x14ac:dyDescent="0.25">
      <c r="F101" t="s">
        <v>108</v>
      </c>
      <c r="G101" s="7" cm="1">
        <f t="array" ref="G101">INT(planned(F101))</f>
        <v>126</v>
      </c>
      <c r="H101">
        <f>VLOOKUP(G101,Table4[[#All],[Cost Center]:[Client Type]],2,TRUE)</f>
        <v>110</v>
      </c>
      <c r="I101" t="str">
        <f>VLOOKUP(G101,Table4[[#All],[Cost Center]:[Client Type]],3,TRUE)</f>
        <v>New Giza Hospital</v>
      </c>
      <c r="J101" t="str">
        <f>VLOOKUP(G101,Table4[[#All],[Cost Center]:[Client Type]],5,TRUE)</f>
        <v>Osama Mezayn</v>
      </c>
    </row>
    <row r="102" spans="6:10" x14ac:dyDescent="0.25">
      <c r="F102" t="s">
        <v>108</v>
      </c>
      <c r="G102" s="7" cm="1">
        <f t="array" ref="G102">INT(planned(F102))</f>
        <v>126</v>
      </c>
      <c r="H102">
        <f>VLOOKUP(G102,Table4[[#All],[Cost Center]:[Client Type]],2,TRUE)</f>
        <v>110</v>
      </c>
      <c r="I102" t="str">
        <f>VLOOKUP(G102,Table4[[#All],[Cost Center]:[Client Type]],3,TRUE)</f>
        <v>New Giza Hospital</v>
      </c>
      <c r="J102" t="str">
        <f>VLOOKUP(G102,Table4[[#All],[Cost Center]:[Client Type]],5,TRUE)</f>
        <v>Osama Mezayn</v>
      </c>
    </row>
    <row r="103" spans="6:10" x14ac:dyDescent="0.25">
      <c r="F103" t="s">
        <v>114</v>
      </c>
      <c r="G103" s="7" cm="1">
        <f t="array" ref="G103">INT(planned(F103))</f>
        <v>151</v>
      </c>
      <c r="H103">
        <f>VLOOKUP(G103,Table4[[#All],[Cost Center]:[Client Type]],2,TRUE)</f>
        <v>47</v>
      </c>
      <c r="I103" t="str">
        <f>VLOOKUP(G103,Table4[[#All],[Cost Center]:[Client Type]],3,TRUE)</f>
        <v>ORA ZED-Ph 2-Pkgs A&amp;D</v>
      </c>
      <c r="J103" t="str">
        <f>VLOOKUP(G103,Table4[[#All],[Cost Center]:[Client Type]],5,TRUE)</f>
        <v>Osama Mezayn</v>
      </c>
    </row>
    <row r="104" spans="6:10" x14ac:dyDescent="0.25">
      <c r="F104" t="s">
        <v>114</v>
      </c>
      <c r="G104" s="7" cm="1">
        <f t="array" ref="G104">INT(planned(F104))</f>
        <v>151</v>
      </c>
      <c r="H104">
        <f>VLOOKUP(G104,Table4[[#All],[Cost Center]:[Client Type]],2,TRUE)</f>
        <v>47</v>
      </c>
      <c r="I104" t="str">
        <f>VLOOKUP(G104,Table4[[#All],[Cost Center]:[Client Type]],3,TRUE)</f>
        <v>ORA ZED-Ph 2-Pkgs A&amp;D</v>
      </c>
      <c r="J104" t="str">
        <f>VLOOKUP(G104,Table4[[#All],[Cost Center]:[Client Type]],5,TRUE)</f>
        <v>Osama Mezayn</v>
      </c>
    </row>
    <row r="105" spans="6:10" x14ac:dyDescent="0.25">
      <c r="F105" t="s">
        <v>114</v>
      </c>
      <c r="G105" s="7" cm="1">
        <f t="array" ref="G105">INT(planned(F105))</f>
        <v>151</v>
      </c>
      <c r="H105">
        <f>VLOOKUP(G105,Table4[[#All],[Cost Center]:[Client Type]],2,TRUE)</f>
        <v>47</v>
      </c>
      <c r="I105" t="str">
        <f>VLOOKUP(G105,Table4[[#All],[Cost Center]:[Client Type]],3,TRUE)</f>
        <v>ORA ZED-Ph 2-Pkgs A&amp;D</v>
      </c>
      <c r="J105" t="str">
        <f>VLOOKUP(G105,Table4[[#All],[Cost Center]:[Client Type]],5,TRUE)</f>
        <v>Osama Mezayn</v>
      </c>
    </row>
    <row r="106" spans="6:10" x14ac:dyDescent="0.25">
      <c r="F106" t="s">
        <v>114</v>
      </c>
      <c r="G106" s="7" cm="1">
        <f t="array" ref="G106">INT(planned(F106))</f>
        <v>151</v>
      </c>
      <c r="H106">
        <f>VLOOKUP(G106,Table4[[#All],[Cost Center]:[Client Type]],2,TRUE)</f>
        <v>47</v>
      </c>
      <c r="I106" t="str">
        <f>VLOOKUP(G106,Table4[[#All],[Cost Center]:[Client Type]],3,TRUE)</f>
        <v>ORA ZED-Ph 2-Pkgs A&amp;D</v>
      </c>
      <c r="J106" t="str">
        <f>VLOOKUP(G106,Table4[[#All],[Cost Center]:[Client Type]],5,TRUE)</f>
        <v>Osama Mezayn</v>
      </c>
    </row>
    <row r="107" spans="6:10" x14ac:dyDescent="0.25">
      <c r="F107" t="s">
        <v>114</v>
      </c>
      <c r="G107" s="7" cm="1">
        <f t="array" ref="G107">INT(planned(F107))</f>
        <v>151</v>
      </c>
      <c r="H107">
        <f>VLOOKUP(G107,Table4[[#All],[Cost Center]:[Client Type]],2,TRUE)</f>
        <v>47</v>
      </c>
      <c r="I107" t="str">
        <f>VLOOKUP(G107,Table4[[#All],[Cost Center]:[Client Type]],3,TRUE)</f>
        <v>ORA ZED-Ph 2-Pkgs A&amp;D</v>
      </c>
      <c r="J107" t="str">
        <f>VLOOKUP(G107,Table4[[#All],[Cost Center]:[Client Type]],5,TRUE)</f>
        <v>Osama Mezayn</v>
      </c>
    </row>
    <row r="108" spans="6:10" x14ac:dyDescent="0.25">
      <c r="F108" t="s">
        <v>114</v>
      </c>
      <c r="G108" s="7" cm="1">
        <f t="array" ref="G108">INT(planned(F108))</f>
        <v>151</v>
      </c>
      <c r="H108">
        <f>VLOOKUP(G108,Table4[[#All],[Cost Center]:[Client Type]],2,TRUE)</f>
        <v>47</v>
      </c>
      <c r="I108" t="str">
        <f>VLOOKUP(G108,Table4[[#All],[Cost Center]:[Client Type]],3,TRUE)</f>
        <v>ORA ZED-Ph 2-Pkgs A&amp;D</v>
      </c>
      <c r="J108" t="str">
        <f>VLOOKUP(G108,Table4[[#All],[Cost Center]:[Client Type]],5,TRUE)</f>
        <v>Osama Mezayn</v>
      </c>
    </row>
    <row r="109" spans="6:10" x14ac:dyDescent="0.25">
      <c r="F109" t="s">
        <v>114</v>
      </c>
      <c r="G109" s="7" cm="1">
        <f t="array" ref="G109">INT(planned(F109))</f>
        <v>151</v>
      </c>
      <c r="H109">
        <f>VLOOKUP(G109,Table4[[#All],[Cost Center]:[Client Type]],2,TRUE)</f>
        <v>47</v>
      </c>
      <c r="I109" t="str">
        <f>VLOOKUP(G109,Table4[[#All],[Cost Center]:[Client Type]],3,TRUE)</f>
        <v>ORA ZED-Ph 2-Pkgs A&amp;D</v>
      </c>
      <c r="J109" t="str">
        <f>VLOOKUP(G109,Table4[[#All],[Cost Center]:[Client Type]],5,TRUE)</f>
        <v>Osama Mezayn</v>
      </c>
    </row>
    <row r="110" spans="6:10" x14ac:dyDescent="0.25">
      <c r="F110" t="s">
        <v>114</v>
      </c>
      <c r="G110" s="7" cm="1">
        <f t="array" ref="G110">INT(planned(F110))</f>
        <v>151</v>
      </c>
      <c r="H110">
        <f>VLOOKUP(G110,Table4[[#All],[Cost Center]:[Client Type]],2,TRUE)</f>
        <v>47</v>
      </c>
      <c r="I110" t="str">
        <f>VLOOKUP(G110,Table4[[#All],[Cost Center]:[Client Type]],3,TRUE)</f>
        <v>ORA ZED-Ph 2-Pkgs A&amp;D</v>
      </c>
      <c r="J110" t="str">
        <f>VLOOKUP(G110,Table4[[#All],[Cost Center]:[Client Type]],5,TRUE)</f>
        <v>Osama Mezayn</v>
      </c>
    </row>
    <row r="111" spans="6:10" x14ac:dyDescent="0.25">
      <c r="F111" t="s">
        <v>114</v>
      </c>
      <c r="G111" s="7" cm="1">
        <f t="array" ref="G111">INT(planned(F111))</f>
        <v>151</v>
      </c>
      <c r="H111">
        <f>VLOOKUP(G111,Table4[[#All],[Cost Center]:[Client Type]],2,TRUE)</f>
        <v>47</v>
      </c>
      <c r="I111" t="str">
        <f>VLOOKUP(G111,Table4[[#All],[Cost Center]:[Client Type]],3,TRUE)</f>
        <v>ORA ZED-Ph 2-Pkgs A&amp;D</v>
      </c>
      <c r="J111" t="str">
        <f>VLOOKUP(G111,Table4[[#All],[Cost Center]:[Client Type]],5,TRUE)</f>
        <v>Osama Mezayn</v>
      </c>
    </row>
    <row r="112" spans="6:10" x14ac:dyDescent="0.25">
      <c r="F112" t="s">
        <v>114</v>
      </c>
      <c r="G112" s="7" cm="1">
        <f t="array" ref="G112">INT(planned(F112))</f>
        <v>151</v>
      </c>
      <c r="H112">
        <f>VLOOKUP(G112,Table4[[#All],[Cost Center]:[Client Type]],2,TRUE)</f>
        <v>47</v>
      </c>
      <c r="I112" t="str">
        <f>VLOOKUP(G112,Table4[[#All],[Cost Center]:[Client Type]],3,TRUE)</f>
        <v>ORA ZED-Ph 2-Pkgs A&amp;D</v>
      </c>
      <c r="J112" t="str">
        <f>VLOOKUP(G112,Table4[[#All],[Cost Center]:[Client Type]],5,TRUE)</f>
        <v>Osama Mezayn</v>
      </c>
    </row>
    <row r="113" spans="6:10" x14ac:dyDescent="0.25">
      <c r="F113" t="s">
        <v>114</v>
      </c>
      <c r="G113" s="7" cm="1">
        <f t="array" ref="G113">INT(planned(F113))</f>
        <v>151</v>
      </c>
      <c r="H113">
        <f>VLOOKUP(G113,Table4[[#All],[Cost Center]:[Client Type]],2,TRUE)</f>
        <v>47</v>
      </c>
      <c r="I113" t="str">
        <f>VLOOKUP(G113,Table4[[#All],[Cost Center]:[Client Type]],3,TRUE)</f>
        <v>ORA ZED-Ph 2-Pkgs A&amp;D</v>
      </c>
      <c r="J113" t="str">
        <f>VLOOKUP(G113,Table4[[#All],[Cost Center]:[Client Type]],5,TRUE)</f>
        <v>Osama Mezayn</v>
      </c>
    </row>
    <row r="114" spans="6:10" x14ac:dyDescent="0.25">
      <c r="F114" t="s">
        <v>114</v>
      </c>
      <c r="G114" s="7" cm="1">
        <f t="array" ref="G114">INT(planned(F114))</f>
        <v>151</v>
      </c>
      <c r="H114">
        <f>VLOOKUP(G114,Table4[[#All],[Cost Center]:[Client Type]],2,TRUE)</f>
        <v>47</v>
      </c>
      <c r="I114" t="str">
        <f>VLOOKUP(G114,Table4[[#All],[Cost Center]:[Client Type]],3,TRUE)</f>
        <v>ORA ZED-Ph 2-Pkgs A&amp;D</v>
      </c>
      <c r="J114" t="str">
        <f>VLOOKUP(G114,Table4[[#All],[Cost Center]:[Client Type]],5,TRUE)</f>
        <v>Osama Mezayn</v>
      </c>
    </row>
    <row r="115" spans="6:10" x14ac:dyDescent="0.25">
      <c r="F115" t="s">
        <v>114</v>
      </c>
      <c r="G115" s="7" cm="1">
        <f t="array" ref="G115">INT(planned(F115))</f>
        <v>151</v>
      </c>
      <c r="H115">
        <f>VLOOKUP(G115,Table4[[#All],[Cost Center]:[Client Type]],2,TRUE)</f>
        <v>47</v>
      </c>
      <c r="I115" t="str">
        <f>VLOOKUP(G115,Table4[[#All],[Cost Center]:[Client Type]],3,TRUE)</f>
        <v>ORA ZED-Ph 2-Pkgs A&amp;D</v>
      </c>
      <c r="J115" t="str">
        <f>VLOOKUP(G115,Table4[[#All],[Cost Center]:[Client Type]],5,TRUE)</f>
        <v>Osama Mezayn</v>
      </c>
    </row>
    <row r="116" spans="6:10" x14ac:dyDescent="0.25">
      <c r="F116" t="s">
        <v>114</v>
      </c>
      <c r="G116" s="7" cm="1">
        <f t="array" ref="G116">INT(planned(F116))</f>
        <v>151</v>
      </c>
      <c r="H116">
        <f>VLOOKUP(G116,Table4[[#All],[Cost Center]:[Client Type]],2,TRUE)</f>
        <v>47</v>
      </c>
      <c r="I116" t="str">
        <f>VLOOKUP(G116,Table4[[#All],[Cost Center]:[Client Type]],3,TRUE)</f>
        <v>ORA ZED-Ph 2-Pkgs A&amp;D</v>
      </c>
      <c r="J116" t="str">
        <f>VLOOKUP(G116,Table4[[#All],[Cost Center]:[Client Type]],5,TRUE)</f>
        <v>Osama Mezayn</v>
      </c>
    </row>
    <row r="117" spans="6:10" x14ac:dyDescent="0.25">
      <c r="F117" t="s">
        <v>114</v>
      </c>
      <c r="G117" s="7" cm="1">
        <f t="array" ref="G117">INT(planned(F117))</f>
        <v>151</v>
      </c>
      <c r="H117">
        <f>VLOOKUP(G117,Table4[[#All],[Cost Center]:[Client Type]],2,TRUE)</f>
        <v>47</v>
      </c>
      <c r="I117" t="str">
        <f>VLOOKUP(G117,Table4[[#All],[Cost Center]:[Client Type]],3,TRUE)</f>
        <v>ORA ZED-Ph 2-Pkgs A&amp;D</v>
      </c>
      <c r="J117" t="str">
        <f>VLOOKUP(G117,Table4[[#All],[Cost Center]:[Client Type]],5,TRUE)</f>
        <v>Osama Mezayn</v>
      </c>
    </row>
    <row r="118" spans="6:10" x14ac:dyDescent="0.25">
      <c r="F118" t="s">
        <v>114</v>
      </c>
      <c r="G118" s="7" cm="1">
        <f t="array" ref="G118">INT(planned(F118))</f>
        <v>151</v>
      </c>
      <c r="H118">
        <f>VLOOKUP(G118,Table4[[#All],[Cost Center]:[Client Type]],2,TRUE)</f>
        <v>47</v>
      </c>
      <c r="I118" t="str">
        <f>VLOOKUP(G118,Table4[[#All],[Cost Center]:[Client Type]],3,TRUE)</f>
        <v>ORA ZED-Ph 2-Pkgs A&amp;D</v>
      </c>
      <c r="J118" t="str">
        <f>VLOOKUP(G118,Table4[[#All],[Cost Center]:[Client Type]],5,TRUE)</f>
        <v>Osama Mezayn</v>
      </c>
    </row>
    <row r="119" spans="6:10" x14ac:dyDescent="0.25">
      <c r="F119" t="s">
        <v>114</v>
      </c>
      <c r="G119" s="7" cm="1">
        <f t="array" ref="G119">INT(planned(F119))</f>
        <v>151</v>
      </c>
      <c r="H119">
        <f>VLOOKUP(G119,Table4[[#All],[Cost Center]:[Client Type]],2,TRUE)</f>
        <v>47</v>
      </c>
      <c r="I119" t="str">
        <f>VLOOKUP(G119,Table4[[#All],[Cost Center]:[Client Type]],3,TRUE)</f>
        <v>ORA ZED-Ph 2-Pkgs A&amp;D</v>
      </c>
      <c r="J119" t="str">
        <f>VLOOKUP(G119,Table4[[#All],[Cost Center]:[Client Type]],5,TRUE)</f>
        <v>Osama Mezayn</v>
      </c>
    </row>
    <row r="120" spans="6:10" x14ac:dyDescent="0.25">
      <c r="F120" t="s">
        <v>114</v>
      </c>
      <c r="G120" s="7" cm="1">
        <f t="array" ref="G120">INT(planned(F120))</f>
        <v>151</v>
      </c>
      <c r="H120">
        <f>VLOOKUP(G120,Table4[[#All],[Cost Center]:[Client Type]],2,TRUE)</f>
        <v>47</v>
      </c>
      <c r="I120" t="str">
        <f>VLOOKUP(G120,Table4[[#All],[Cost Center]:[Client Type]],3,TRUE)</f>
        <v>ORA ZED-Ph 2-Pkgs A&amp;D</v>
      </c>
      <c r="J120" t="str">
        <f>VLOOKUP(G120,Table4[[#All],[Cost Center]:[Client Type]],5,TRUE)</f>
        <v>Osama Mezayn</v>
      </c>
    </row>
    <row r="121" spans="6:10" x14ac:dyDescent="0.25">
      <c r="F121" t="s">
        <v>114</v>
      </c>
      <c r="G121" s="7" cm="1">
        <f t="array" ref="G121">INT(planned(F121))</f>
        <v>151</v>
      </c>
      <c r="H121">
        <f>VLOOKUP(G121,Table4[[#All],[Cost Center]:[Client Type]],2,TRUE)</f>
        <v>47</v>
      </c>
      <c r="I121" t="str">
        <f>VLOOKUP(G121,Table4[[#All],[Cost Center]:[Client Type]],3,TRUE)</f>
        <v>ORA ZED-Ph 2-Pkgs A&amp;D</v>
      </c>
      <c r="J121" t="str">
        <f>VLOOKUP(G121,Table4[[#All],[Cost Center]:[Client Type]],5,TRUE)</f>
        <v>Osama Mezayn</v>
      </c>
    </row>
    <row r="122" spans="6:10" x14ac:dyDescent="0.25">
      <c r="F122" t="s">
        <v>114</v>
      </c>
      <c r="G122" s="7" cm="1">
        <f t="array" ref="G122">INT(planned(F122))</f>
        <v>151</v>
      </c>
      <c r="H122">
        <f>VLOOKUP(G122,Table4[[#All],[Cost Center]:[Client Type]],2,TRUE)</f>
        <v>47</v>
      </c>
      <c r="I122" t="str">
        <f>VLOOKUP(G122,Table4[[#All],[Cost Center]:[Client Type]],3,TRUE)</f>
        <v>ORA ZED-Ph 2-Pkgs A&amp;D</v>
      </c>
      <c r="J122" t="str">
        <f>VLOOKUP(G122,Table4[[#All],[Cost Center]:[Client Type]],5,TRUE)</f>
        <v>Osama Mezayn</v>
      </c>
    </row>
    <row r="123" spans="6:10" x14ac:dyDescent="0.25">
      <c r="F123" t="s">
        <v>114</v>
      </c>
      <c r="G123" s="7" cm="1">
        <f t="array" ref="G123">INT(planned(F123))</f>
        <v>151</v>
      </c>
      <c r="H123">
        <f>VLOOKUP(G123,Table4[[#All],[Cost Center]:[Client Type]],2,TRUE)</f>
        <v>47</v>
      </c>
      <c r="I123" t="str">
        <f>VLOOKUP(G123,Table4[[#All],[Cost Center]:[Client Type]],3,TRUE)</f>
        <v>ORA ZED-Ph 2-Pkgs A&amp;D</v>
      </c>
      <c r="J123" t="str">
        <f>VLOOKUP(G123,Table4[[#All],[Cost Center]:[Client Type]],5,TRUE)</f>
        <v>Osama Mezayn</v>
      </c>
    </row>
    <row r="124" spans="6:10" x14ac:dyDescent="0.25">
      <c r="F124" t="s">
        <v>114</v>
      </c>
      <c r="G124" s="7" cm="1">
        <f t="array" ref="G124">INT(planned(F124))</f>
        <v>151</v>
      </c>
      <c r="H124">
        <f>VLOOKUP(G124,Table4[[#All],[Cost Center]:[Client Type]],2,TRUE)</f>
        <v>47</v>
      </c>
      <c r="I124" t="str">
        <f>VLOOKUP(G124,Table4[[#All],[Cost Center]:[Client Type]],3,TRUE)</f>
        <v>ORA ZED-Ph 2-Pkgs A&amp;D</v>
      </c>
      <c r="J124" t="str">
        <f>VLOOKUP(G124,Table4[[#All],[Cost Center]:[Client Type]],5,TRUE)</f>
        <v>Osama Mezayn</v>
      </c>
    </row>
    <row r="125" spans="6:10" x14ac:dyDescent="0.25">
      <c r="F125" t="s">
        <v>114</v>
      </c>
      <c r="G125" s="7" cm="1">
        <f t="array" ref="G125">INT(planned(F125))</f>
        <v>151</v>
      </c>
      <c r="H125">
        <f>VLOOKUP(G125,Table4[[#All],[Cost Center]:[Client Type]],2,TRUE)</f>
        <v>47</v>
      </c>
      <c r="I125" t="str">
        <f>VLOOKUP(G125,Table4[[#All],[Cost Center]:[Client Type]],3,TRUE)</f>
        <v>ORA ZED-Ph 2-Pkgs A&amp;D</v>
      </c>
      <c r="J125" t="str">
        <f>VLOOKUP(G125,Table4[[#All],[Cost Center]:[Client Type]],5,TRUE)</f>
        <v>Osama Mezayn</v>
      </c>
    </row>
    <row r="126" spans="6:10" x14ac:dyDescent="0.25">
      <c r="F126" t="s">
        <v>114</v>
      </c>
      <c r="G126" s="7" cm="1">
        <f t="array" ref="G126">INT(planned(F126))</f>
        <v>151</v>
      </c>
      <c r="H126">
        <f>VLOOKUP(G126,Table4[[#All],[Cost Center]:[Client Type]],2,TRUE)</f>
        <v>47</v>
      </c>
      <c r="I126" t="str">
        <f>VLOOKUP(G126,Table4[[#All],[Cost Center]:[Client Type]],3,TRUE)</f>
        <v>ORA ZED-Ph 2-Pkgs A&amp;D</v>
      </c>
      <c r="J126" t="str">
        <f>VLOOKUP(G126,Table4[[#All],[Cost Center]:[Client Type]],5,TRUE)</f>
        <v>Osama Mezayn</v>
      </c>
    </row>
    <row r="127" spans="6:10" x14ac:dyDescent="0.25">
      <c r="F127" t="s">
        <v>114</v>
      </c>
      <c r="G127" s="7" cm="1">
        <f t="array" ref="G127">INT(planned(F127))</f>
        <v>151</v>
      </c>
      <c r="H127">
        <f>VLOOKUP(G127,Table4[[#All],[Cost Center]:[Client Type]],2,TRUE)</f>
        <v>47</v>
      </c>
      <c r="I127" t="str">
        <f>VLOOKUP(G127,Table4[[#All],[Cost Center]:[Client Type]],3,TRUE)</f>
        <v>ORA ZED-Ph 2-Pkgs A&amp;D</v>
      </c>
      <c r="J127" t="str">
        <f>VLOOKUP(G127,Table4[[#All],[Cost Center]:[Client Type]],5,TRUE)</f>
        <v>Osama Mezayn</v>
      </c>
    </row>
    <row r="128" spans="6:10" x14ac:dyDescent="0.25">
      <c r="F128" t="s">
        <v>114</v>
      </c>
      <c r="G128" s="7" cm="1">
        <f t="array" ref="G128">INT(planned(F128))</f>
        <v>151</v>
      </c>
      <c r="H128">
        <f>VLOOKUP(G128,Table4[[#All],[Cost Center]:[Client Type]],2,TRUE)</f>
        <v>47</v>
      </c>
      <c r="I128" t="str">
        <f>VLOOKUP(G128,Table4[[#All],[Cost Center]:[Client Type]],3,TRUE)</f>
        <v>ORA ZED-Ph 2-Pkgs A&amp;D</v>
      </c>
      <c r="J128" t="str">
        <f>VLOOKUP(G128,Table4[[#All],[Cost Center]:[Client Type]],5,TRUE)</f>
        <v>Osama Mezayn</v>
      </c>
    </row>
    <row r="129" spans="6:10" x14ac:dyDescent="0.25">
      <c r="F129" t="s">
        <v>114</v>
      </c>
      <c r="G129" s="7" cm="1">
        <f t="array" ref="G129">INT(planned(F129))</f>
        <v>151</v>
      </c>
      <c r="H129">
        <f>VLOOKUP(G129,Table4[[#All],[Cost Center]:[Client Type]],2,TRUE)</f>
        <v>47</v>
      </c>
      <c r="I129" t="str">
        <f>VLOOKUP(G129,Table4[[#All],[Cost Center]:[Client Type]],3,TRUE)</f>
        <v>ORA ZED-Ph 2-Pkgs A&amp;D</v>
      </c>
      <c r="J129" t="str">
        <f>VLOOKUP(G129,Table4[[#All],[Cost Center]:[Client Type]],5,TRUE)</f>
        <v>Osama Mezayn</v>
      </c>
    </row>
    <row r="130" spans="6:10" x14ac:dyDescent="0.25">
      <c r="F130" t="s">
        <v>114</v>
      </c>
      <c r="G130" s="7" cm="1">
        <f t="array" ref="G130">INT(planned(F130))</f>
        <v>151</v>
      </c>
      <c r="H130">
        <f>VLOOKUP(G130,Table4[[#All],[Cost Center]:[Client Type]],2,TRUE)</f>
        <v>47</v>
      </c>
      <c r="I130" t="str">
        <f>VLOOKUP(G130,Table4[[#All],[Cost Center]:[Client Type]],3,TRUE)</f>
        <v>ORA ZED-Ph 2-Pkgs A&amp;D</v>
      </c>
      <c r="J130" t="str">
        <f>VLOOKUP(G130,Table4[[#All],[Cost Center]:[Client Type]],5,TRUE)</f>
        <v>Osama Mezayn</v>
      </c>
    </row>
    <row r="131" spans="6:10" x14ac:dyDescent="0.25">
      <c r="F131" t="s">
        <v>114</v>
      </c>
      <c r="G131" s="7" cm="1">
        <f t="array" ref="G131">INT(planned(F131))</f>
        <v>151</v>
      </c>
      <c r="H131">
        <f>VLOOKUP(G131,Table4[[#All],[Cost Center]:[Client Type]],2,TRUE)</f>
        <v>47</v>
      </c>
      <c r="I131" t="str">
        <f>VLOOKUP(G131,Table4[[#All],[Cost Center]:[Client Type]],3,TRUE)</f>
        <v>ORA ZED-Ph 2-Pkgs A&amp;D</v>
      </c>
      <c r="J131" t="str">
        <f>VLOOKUP(G131,Table4[[#All],[Cost Center]:[Client Type]],5,TRUE)</f>
        <v>Osama Mezayn</v>
      </c>
    </row>
    <row r="132" spans="6:10" x14ac:dyDescent="0.25">
      <c r="F132" t="s">
        <v>114</v>
      </c>
      <c r="G132" s="7" cm="1">
        <f t="array" ref="G132">INT(planned(F132))</f>
        <v>151</v>
      </c>
      <c r="H132">
        <f>VLOOKUP(G132,Table4[[#All],[Cost Center]:[Client Type]],2,TRUE)</f>
        <v>47</v>
      </c>
      <c r="I132" t="str">
        <f>VLOOKUP(G132,Table4[[#All],[Cost Center]:[Client Type]],3,TRUE)</f>
        <v>ORA ZED-Ph 2-Pkgs A&amp;D</v>
      </c>
      <c r="J132" t="str">
        <f>VLOOKUP(G132,Table4[[#All],[Cost Center]:[Client Type]],5,TRUE)</f>
        <v>Osama Mezayn</v>
      </c>
    </row>
    <row r="133" spans="6:10" x14ac:dyDescent="0.25">
      <c r="F133" t="s">
        <v>114</v>
      </c>
      <c r="G133" s="7" cm="1">
        <f t="array" ref="G133">INT(planned(F133))</f>
        <v>151</v>
      </c>
      <c r="H133">
        <f>VLOOKUP(G133,Table4[[#All],[Cost Center]:[Client Type]],2,TRUE)</f>
        <v>47</v>
      </c>
      <c r="I133" t="str">
        <f>VLOOKUP(G133,Table4[[#All],[Cost Center]:[Client Type]],3,TRUE)</f>
        <v>ORA ZED-Ph 2-Pkgs A&amp;D</v>
      </c>
      <c r="J133" t="str">
        <f>VLOOKUP(G133,Table4[[#All],[Cost Center]:[Client Type]],5,TRUE)</f>
        <v>Osama Mezayn</v>
      </c>
    </row>
    <row r="134" spans="6:10" x14ac:dyDescent="0.25">
      <c r="F134" t="s">
        <v>114</v>
      </c>
      <c r="G134" s="7" cm="1">
        <f t="array" ref="G134">INT(planned(F134))</f>
        <v>151</v>
      </c>
      <c r="H134">
        <f>VLOOKUP(G134,Table4[[#All],[Cost Center]:[Client Type]],2,TRUE)</f>
        <v>47</v>
      </c>
      <c r="I134" t="str">
        <f>VLOOKUP(G134,Table4[[#All],[Cost Center]:[Client Type]],3,TRUE)</f>
        <v>ORA ZED-Ph 2-Pkgs A&amp;D</v>
      </c>
      <c r="J134" t="str">
        <f>VLOOKUP(G134,Table4[[#All],[Cost Center]:[Client Type]],5,TRUE)</f>
        <v>Osama Mezayn</v>
      </c>
    </row>
    <row r="135" spans="6:10" x14ac:dyDescent="0.25">
      <c r="F135" t="s">
        <v>114</v>
      </c>
      <c r="G135" s="7" cm="1">
        <f t="array" ref="G135">INT(planned(F135))</f>
        <v>151</v>
      </c>
      <c r="H135">
        <f>VLOOKUP(G135,Table4[[#All],[Cost Center]:[Client Type]],2,TRUE)</f>
        <v>47</v>
      </c>
      <c r="I135" t="str">
        <f>VLOOKUP(G135,Table4[[#All],[Cost Center]:[Client Type]],3,TRUE)</f>
        <v>ORA ZED-Ph 2-Pkgs A&amp;D</v>
      </c>
      <c r="J135" t="str">
        <f>VLOOKUP(G135,Table4[[#All],[Cost Center]:[Client Type]],5,TRUE)</f>
        <v>Osama Mezayn</v>
      </c>
    </row>
    <row r="136" spans="6:10" x14ac:dyDescent="0.25">
      <c r="F136" t="s">
        <v>114</v>
      </c>
      <c r="G136" s="7" cm="1">
        <f t="array" ref="G136">INT(planned(F136))</f>
        <v>151</v>
      </c>
      <c r="H136">
        <f>VLOOKUP(G136,Table4[[#All],[Cost Center]:[Client Type]],2,TRUE)</f>
        <v>47</v>
      </c>
      <c r="I136" t="str">
        <f>VLOOKUP(G136,Table4[[#All],[Cost Center]:[Client Type]],3,TRUE)</f>
        <v>ORA ZED-Ph 2-Pkgs A&amp;D</v>
      </c>
      <c r="J136" t="str">
        <f>VLOOKUP(G136,Table4[[#All],[Cost Center]:[Client Type]],5,TRUE)</f>
        <v>Osama Mezayn</v>
      </c>
    </row>
    <row r="137" spans="6:10" x14ac:dyDescent="0.25">
      <c r="F137" t="s">
        <v>114</v>
      </c>
      <c r="G137" s="7" cm="1">
        <f t="array" ref="G137">INT(planned(F137))</f>
        <v>151</v>
      </c>
      <c r="H137">
        <f>VLOOKUP(G137,Table4[[#All],[Cost Center]:[Client Type]],2,TRUE)</f>
        <v>47</v>
      </c>
      <c r="I137" t="str">
        <f>VLOOKUP(G137,Table4[[#All],[Cost Center]:[Client Type]],3,TRUE)</f>
        <v>ORA ZED-Ph 2-Pkgs A&amp;D</v>
      </c>
      <c r="J137" t="str">
        <f>VLOOKUP(G137,Table4[[#All],[Cost Center]:[Client Type]],5,TRUE)</f>
        <v>Osama Mezayn</v>
      </c>
    </row>
    <row r="138" spans="6:10" x14ac:dyDescent="0.25">
      <c r="F138" t="s">
        <v>114</v>
      </c>
      <c r="G138" s="7" cm="1">
        <f t="array" ref="G138">INT(planned(F138))</f>
        <v>151</v>
      </c>
      <c r="H138">
        <f>VLOOKUP(G138,Table4[[#All],[Cost Center]:[Client Type]],2,TRUE)</f>
        <v>47</v>
      </c>
      <c r="I138" t="str">
        <f>VLOOKUP(G138,Table4[[#All],[Cost Center]:[Client Type]],3,TRUE)</f>
        <v>ORA ZED-Ph 2-Pkgs A&amp;D</v>
      </c>
      <c r="J138" t="str">
        <f>VLOOKUP(G138,Table4[[#All],[Cost Center]:[Client Type]],5,TRUE)</f>
        <v>Osama Mezayn</v>
      </c>
    </row>
    <row r="139" spans="6:10" x14ac:dyDescent="0.25">
      <c r="F139" t="s">
        <v>114</v>
      </c>
      <c r="G139" s="7" cm="1">
        <f t="array" ref="G139">INT(planned(F139))</f>
        <v>151</v>
      </c>
      <c r="H139">
        <f>VLOOKUP(G139,Table4[[#All],[Cost Center]:[Client Type]],2,TRUE)</f>
        <v>47</v>
      </c>
      <c r="I139" t="str">
        <f>VLOOKUP(G139,Table4[[#All],[Cost Center]:[Client Type]],3,TRUE)</f>
        <v>ORA ZED-Ph 2-Pkgs A&amp;D</v>
      </c>
      <c r="J139" t="str">
        <f>VLOOKUP(G139,Table4[[#All],[Cost Center]:[Client Type]],5,TRUE)</f>
        <v>Osama Mezayn</v>
      </c>
    </row>
    <row r="140" spans="6:10" x14ac:dyDescent="0.25">
      <c r="F140" t="s">
        <v>114</v>
      </c>
      <c r="G140" s="7" cm="1">
        <f t="array" ref="G140">INT(planned(F140))</f>
        <v>151</v>
      </c>
      <c r="H140">
        <f>VLOOKUP(G140,Table4[[#All],[Cost Center]:[Client Type]],2,TRUE)</f>
        <v>47</v>
      </c>
      <c r="I140" t="str">
        <f>VLOOKUP(G140,Table4[[#All],[Cost Center]:[Client Type]],3,TRUE)</f>
        <v>ORA ZED-Ph 2-Pkgs A&amp;D</v>
      </c>
      <c r="J140" t="str">
        <f>VLOOKUP(G140,Table4[[#All],[Cost Center]:[Client Type]],5,TRUE)</f>
        <v>Osama Mezayn</v>
      </c>
    </row>
    <row r="141" spans="6:10" x14ac:dyDescent="0.25">
      <c r="F141" t="s">
        <v>114</v>
      </c>
      <c r="G141" s="7" cm="1">
        <f t="array" ref="G141">INT(planned(F141))</f>
        <v>151</v>
      </c>
      <c r="H141">
        <f>VLOOKUP(G141,Table4[[#All],[Cost Center]:[Client Type]],2,TRUE)</f>
        <v>47</v>
      </c>
      <c r="I141" t="str">
        <f>VLOOKUP(G141,Table4[[#All],[Cost Center]:[Client Type]],3,TRUE)</f>
        <v>ORA ZED-Ph 2-Pkgs A&amp;D</v>
      </c>
      <c r="J141" t="str">
        <f>VLOOKUP(G141,Table4[[#All],[Cost Center]:[Client Type]],5,TRUE)</f>
        <v>Osama Mezayn</v>
      </c>
    </row>
    <row r="142" spans="6:10" x14ac:dyDescent="0.25">
      <c r="F142" t="s">
        <v>114</v>
      </c>
      <c r="G142" s="7" cm="1">
        <f t="array" ref="G142">INT(planned(F142))</f>
        <v>151</v>
      </c>
      <c r="H142">
        <f>VLOOKUP(G142,Table4[[#All],[Cost Center]:[Client Type]],2,TRUE)</f>
        <v>47</v>
      </c>
      <c r="I142" t="str">
        <f>VLOOKUP(G142,Table4[[#All],[Cost Center]:[Client Type]],3,TRUE)</f>
        <v>ORA ZED-Ph 2-Pkgs A&amp;D</v>
      </c>
      <c r="J142" t="str">
        <f>VLOOKUP(G142,Table4[[#All],[Cost Center]:[Client Type]],5,TRUE)</f>
        <v>Osama Mezayn</v>
      </c>
    </row>
    <row r="143" spans="6:10" x14ac:dyDescent="0.25">
      <c r="F143" t="s">
        <v>114</v>
      </c>
      <c r="G143" s="7" cm="1">
        <f t="array" ref="G143">INT(planned(F143))</f>
        <v>151</v>
      </c>
      <c r="H143">
        <f>VLOOKUP(G143,Table4[[#All],[Cost Center]:[Client Type]],2,TRUE)</f>
        <v>47</v>
      </c>
      <c r="I143" t="str">
        <f>VLOOKUP(G143,Table4[[#All],[Cost Center]:[Client Type]],3,TRUE)</f>
        <v>ORA ZED-Ph 2-Pkgs A&amp;D</v>
      </c>
      <c r="J143" t="str">
        <f>VLOOKUP(G143,Table4[[#All],[Cost Center]:[Client Type]],5,TRUE)</f>
        <v>Osama Mezayn</v>
      </c>
    </row>
    <row r="144" spans="6:10" x14ac:dyDescent="0.25">
      <c r="F144" t="s">
        <v>114</v>
      </c>
      <c r="G144" s="7" cm="1">
        <f t="array" ref="G144">INT(planned(F144))</f>
        <v>151</v>
      </c>
      <c r="H144">
        <f>VLOOKUP(G144,Table4[[#All],[Cost Center]:[Client Type]],2,TRUE)</f>
        <v>47</v>
      </c>
      <c r="I144" t="str">
        <f>VLOOKUP(G144,Table4[[#All],[Cost Center]:[Client Type]],3,TRUE)</f>
        <v>ORA ZED-Ph 2-Pkgs A&amp;D</v>
      </c>
      <c r="J144" t="str">
        <f>VLOOKUP(G144,Table4[[#All],[Cost Center]:[Client Type]],5,TRUE)</f>
        <v>Osama Mezayn</v>
      </c>
    </row>
    <row r="145" spans="6:10" x14ac:dyDescent="0.25">
      <c r="F145" t="s">
        <v>114</v>
      </c>
      <c r="G145" s="7" cm="1">
        <f t="array" ref="G145">INT(planned(F145))</f>
        <v>151</v>
      </c>
      <c r="H145">
        <f>VLOOKUP(G145,Table4[[#All],[Cost Center]:[Client Type]],2,TRUE)</f>
        <v>47</v>
      </c>
      <c r="I145" t="str">
        <f>VLOOKUP(G145,Table4[[#All],[Cost Center]:[Client Type]],3,TRUE)</f>
        <v>ORA ZED-Ph 2-Pkgs A&amp;D</v>
      </c>
      <c r="J145" t="str">
        <f>VLOOKUP(G145,Table4[[#All],[Cost Center]:[Client Type]],5,TRUE)</f>
        <v>Osama Mezayn</v>
      </c>
    </row>
    <row r="146" spans="6:10" x14ac:dyDescent="0.25">
      <c r="F146" t="s">
        <v>114</v>
      </c>
      <c r="G146" s="7" cm="1">
        <f t="array" ref="G146">INT(planned(F146))</f>
        <v>151</v>
      </c>
      <c r="H146">
        <f>VLOOKUP(G146,Table4[[#All],[Cost Center]:[Client Type]],2,TRUE)</f>
        <v>47</v>
      </c>
      <c r="I146" t="str">
        <f>VLOOKUP(G146,Table4[[#All],[Cost Center]:[Client Type]],3,TRUE)</f>
        <v>ORA ZED-Ph 2-Pkgs A&amp;D</v>
      </c>
      <c r="J146" t="str">
        <f>VLOOKUP(G146,Table4[[#All],[Cost Center]:[Client Type]],5,TRUE)</f>
        <v>Osama Mezayn</v>
      </c>
    </row>
    <row r="147" spans="6:10" x14ac:dyDescent="0.25">
      <c r="F147" t="s">
        <v>114</v>
      </c>
      <c r="G147" s="7" cm="1">
        <f t="array" ref="G147">INT(planned(F147))</f>
        <v>151</v>
      </c>
      <c r="H147">
        <f>VLOOKUP(G147,Table4[[#All],[Cost Center]:[Client Type]],2,TRUE)</f>
        <v>47</v>
      </c>
      <c r="I147" t="str">
        <f>VLOOKUP(G147,Table4[[#All],[Cost Center]:[Client Type]],3,TRUE)</f>
        <v>ORA ZED-Ph 2-Pkgs A&amp;D</v>
      </c>
      <c r="J147" t="str">
        <f>VLOOKUP(G147,Table4[[#All],[Cost Center]:[Client Type]],5,TRUE)</f>
        <v>Osama Mezayn</v>
      </c>
    </row>
    <row r="148" spans="6:10" x14ac:dyDescent="0.25">
      <c r="F148" t="s">
        <v>114</v>
      </c>
      <c r="G148" s="7" cm="1">
        <f t="array" ref="G148">INT(planned(F148))</f>
        <v>151</v>
      </c>
      <c r="H148">
        <f>VLOOKUP(G148,Table4[[#All],[Cost Center]:[Client Type]],2,TRUE)</f>
        <v>47</v>
      </c>
      <c r="I148" t="str">
        <f>VLOOKUP(G148,Table4[[#All],[Cost Center]:[Client Type]],3,TRUE)</f>
        <v>ORA ZED-Ph 2-Pkgs A&amp;D</v>
      </c>
      <c r="J148" t="str">
        <f>VLOOKUP(G148,Table4[[#All],[Cost Center]:[Client Type]],5,TRUE)</f>
        <v>Osama Mezayn</v>
      </c>
    </row>
    <row r="149" spans="6:10" x14ac:dyDescent="0.25">
      <c r="F149" t="s">
        <v>114</v>
      </c>
      <c r="G149" s="7" cm="1">
        <f t="array" ref="G149">INT(planned(F149))</f>
        <v>151</v>
      </c>
      <c r="H149">
        <f>VLOOKUP(G149,Table4[[#All],[Cost Center]:[Client Type]],2,TRUE)</f>
        <v>47</v>
      </c>
      <c r="I149" t="str">
        <f>VLOOKUP(G149,Table4[[#All],[Cost Center]:[Client Type]],3,TRUE)</f>
        <v>ORA ZED-Ph 2-Pkgs A&amp;D</v>
      </c>
      <c r="J149" t="str">
        <f>VLOOKUP(G149,Table4[[#All],[Cost Center]:[Client Type]],5,TRUE)</f>
        <v>Osama Mezayn</v>
      </c>
    </row>
    <row r="150" spans="6:10" x14ac:dyDescent="0.25">
      <c r="F150" t="s">
        <v>114</v>
      </c>
      <c r="G150" s="7" cm="1">
        <f t="array" ref="G150">INT(planned(F150))</f>
        <v>151</v>
      </c>
      <c r="H150">
        <f>VLOOKUP(G150,Table4[[#All],[Cost Center]:[Client Type]],2,TRUE)</f>
        <v>47</v>
      </c>
      <c r="I150" t="str">
        <f>VLOOKUP(G150,Table4[[#All],[Cost Center]:[Client Type]],3,TRUE)</f>
        <v>ORA ZED-Ph 2-Pkgs A&amp;D</v>
      </c>
      <c r="J150" t="str">
        <f>VLOOKUP(G150,Table4[[#All],[Cost Center]:[Client Type]],5,TRUE)</f>
        <v>Osama Mezayn</v>
      </c>
    </row>
    <row r="151" spans="6:10" x14ac:dyDescent="0.25">
      <c r="F151" t="s">
        <v>114</v>
      </c>
      <c r="G151" s="7" cm="1">
        <f t="array" ref="G151">INT(planned(F151))</f>
        <v>151</v>
      </c>
      <c r="H151">
        <f>VLOOKUP(G151,Table4[[#All],[Cost Center]:[Client Type]],2,TRUE)</f>
        <v>47</v>
      </c>
      <c r="I151" t="str">
        <f>VLOOKUP(G151,Table4[[#All],[Cost Center]:[Client Type]],3,TRUE)</f>
        <v>ORA ZED-Ph 2-Pkgs A&amp;D</v>
      </c>
      <c r="J151" t="str">
        <f>VLOOKUP(G151,Table4[[#All],[Cost Center]:[Client Type]],5,TRUE)</f>
        <v>Osama Mezayn</v>
      </c>
    </row>
    <row r="152" spans="6:10" x14ac:dyDescent="0.25">
      <c r="F152" t="s">
        <v>114</v>
      </c>
      <c r="G152" s="7" cm="1">
        <f t="array" ref="G152">INT(planned(F152))</f>
        <v>151</v>
      </c>
      <c r="H152">
        <f>VLOOKUP(G152,Table4[[#All],[Cost Center]:[Client Type]],2,TRUE)</f>
        <v>47</v>
      </c>
      <c r="I152" t="str">
        <f>VLOOKUP(G152,Table4[[#All],[Cost Center]:[Client Type]],3,TRUE)</f>
        <v>ORA ZED-Ph 2-Pkgs A&amp;D</v>
      </c>
      <c r="J152" t="str">
        <f>VLOOKUP(G152,Table4[[#All],[Cost Center]:[Client Type]],5,TRUE)</f>
        <v>Osama Mezayn</v>
      </c>
    </row>
    <row r="153" spans="6:10" x14ac:dyDescent="0.25">
      <c r="F153" t="s">
        <v>114</v>
      </c>
      <c r="G153" s="7" cm="1">
        <f t="array" ref="G153">INT(planned(F153))</f>
        <v>151</v>
      </c>
      <c r="H153">
        <f>VLOOKUP(G153,Table4[[#All],[Cost Center]:[Client Type]],2,TRUE)</f>
        <v>47</v>
      </c>
      <c r="I153" t="str">
        <f>VLOOKUP(G153,Table4[[#All],[Cost Center]:[Client Type]],3,TRUE)</f>
        <v>ORA ZED-Ph 2-Pkgs A&amp;D</v>
      </c>
      <c r="J153" t="str">
        <f>VLOOKUP(G153,Table4[[#All],[Cost Center]:[Client Type]],5,TRUE)</f>
        <v>Osama Mezayn</v>
      </c>
    </row>
    <row r="154" spans="6:10" x14ac:dyDescent="0.25">
      <c r="F154" t="s">
        <v>114</v>
      </c>
      <c r="G154" s="7" cm="1">
        <f t="array" ref="G154">INT(planned(F154))</f>
        <v>151</v>
      </c>
      <c r="H154">
        <f>VLOOKUP(G154,Table4[[#All],[Cost Center]:[Client Type]],2,TRUE)</f>
        <v>47</v>
      </c>
      <c r="I154" t="str">
        <f>VLOOKUP(G154,Table4[[#All],[Cost Center]:[Client Type]],3,TRUE)</f>
        <v>ORA ZED-Ph 2-Pkgs A&amp;D</v>
      </c>
      <c r="J154" t="str">
        <f>VLOOKUP(G154,Table4[[#All],[Cost Center]:[Client Type]],5,TRUE)</f>
        <v>Osama Mezayn</v>
      </c>
    </row>
    <row r="155" spans="6:10" x14ac:dyDescent="0.25">
      <c r="F155" t="s">
        <v>114</v>
      </c>
      <c r="G155" s="7" cm="1">
        <f t="array" ref="G155">INT(planned(F155))</f>
        <v>151</v>
      </c>
      <c r="H155">
        <f>VLOOKUP(G155,Table4[[#All],[Cost Center]:[Client Type]],2,TRUE)</f>
        <v>47</v>
      </c>
      <c r="I155" t="str">
        <f>VLOOKUP(G155,Table4[[#All],[Cost Center]:[Client Type]],3,TRUE)</f>
        <v>ORA ZED-Ph 2-Pkgs A&amp;D</v>
      </c>
      <c r="J155" t="str">
        <f>VLOOKUP(G155,Table4[[#All],[Cost Center]:[Client Type]],5,TRUE)</f>
        <v>Osama Mezayn</v>
      </c>
    </row>
    <row r="156" spans="6:10" x14ac:dyDescent="0.25">
      <c r="F156" t="s">
        <v>114</v>
      </c>
      <c r="G156" s="7" cm="1">
        <f t="array" ref="G156">INT(planned(F156))</f>
        <v>151</v>
      </c>
      <c r="H156">
        <f>VLOOKUP(G156,Table4[[#All],[Cost Center]:[Client Type]],2,TRUE)</f>
        <v>47</v>
      </c>
      <c r="I156" t="str">
        <f>VLOOKUP(G156,Table4[[#All],[Cost Center]:[Client Type]],3,TRUE)</f>
        <v>ORA ZED-Ph 2-Pkgs A&amp;D</v>
      </c>
      <c r="J156" t="str">
        <f>VLOOKUP(G156,Table4[[#All],[Cost Center]:[Client Type]],5,TRUE)</f>
        <v>Osama Mezayn</v>
      </c>
    </row>
    <row r="157" spans="6:10" x14ac:dyDescent="0.25">
      <c r="F157" t="s">
        <v>114</v>
      </c>
      <c r="G157" s="7" cm="1">
        <f t="array" ref="G157">INT(planned(F157))</f>
        <v>151</v>
      </c>
      <c r="H157">
        <f>VLOOKUP(G157,Table4[[#All],[Cost Center]:[Client Type]],2,TRUE)</f>
        <v>47</v>
      </c>
      <c r="I157" t="str">
        <f>VLOOKUP(G157,Table4[[#All],[Cost Center]:[Client Type]],3,TRUE)</f>
        <v>ORA ZED-Ph 2-Pkgs A&amp;D</v>
      </c>
      <c r="J157" t="str">
        <f>VLOOKUP(G157,Table4[[#All],[Cost Center]:[Client Type]],5,TRUE)</f>
        <v>Osama Mezayn</v>
      </c>
    </row>
    <row r="158" spans="6:10" x14ac:dyDescent="0.25">
      <c r="F158" t="s">
        <v>114</v>
      </c>
      <c r="G158" s="7" cm="1">
        <f t="array" ref="G158">INT(planned(F158))</f>
        <v>151</v>
      </c>
      <c r="H158">
        <f>VLOOKUP(G158,Table4[[#All],[Cost Center]:[Client Type]],2,TRUE)</f>
        <v>47</v>
      </c>
      <c r="I158" t="str">
        <f>VLOOKUP(G158,Table4[[#All],[Cost Center]:[Client Type]],3,TRUE)</f>
        <v>ORA ZED-Ph 2-Pkgs A&amp;D</v>
      </c>
      <c r="J158" t="str">
        <f>VLOOKUP(G158,Table4[[#All],[Cost Center]:[Client Type]],5,TRUE)</f>
        <v>Osama Mezayn</v>
      </c>
    </row>
    <row r="159" spans="6:10" x14ac:dyDescent="0.25">
      <c r="F159" t="s">
        <v>114</v>
      </c>
      <c r="G159" s="7" cm="1">
        <f t="array" ref="G159">INT(planned(F159))</f>
        <v>151</v>
      </c>
      <c r="H159">
        <f>VLOOKUP(G159,Table4[[#All],[Cost Center]:[Client Type]],2,TRUE)</f>
        <v>47</v>
      </c>
      <c r="I159" t="str">
        <f>VLOOKUP(G159,Table4[[#All],[Cost Center]:[Client Type]],3,TRUE)</f>
        <v>ORA ZED-Ph 2-Pkgs A&amp;D</v>
      </c>
      <c r="J159" t="str">
        <f>VLOOKUP(G159,Table4[[#All],[Cost Center]:[Client Type]],5,TRUE)</f>
        <v>Osama Mezayn</v>
      </c>
    </row>
    <row r="160" spans="6:10" x14ac:dyDescent="0.25">
      <c r="F160" t="s">
        <v>114</v>
      </c>
      <c r="G160" s="7" cm="1">
        <f t="array" ref="G160">INT(planned(F160))</f>
        <v>151</v>
      </c>
      <c r="H160">
        <f>VLOOKUP(G160,Table4[[#All],[Cost Center]:[Client Type]],2,TRUE)</f>
        <v>47</v>
      </c>
      <c r="I160" t="str">
        <f>VLOOKUP(G160,Table4[[#All],[Cost Center]:[Client Type]],3,TRUE)</f>
        <v>ORA ZED-Ph 2-Pkgs A&amp;D</v>
      </c>
      <c r="J160" t="str">
        <f>VLOOKUP(G160,Table4[[#All],[Cost Center]:[Client Type]],5,TRUE)</f>
        <v>Osama Mezayn</v>
      </c>
    </row>
    <row r="161" spans="6:10" x14ac:dyDescent="0.25">
      <c r="F161" t="s">
        <v>114</v>
      </c>
      <c r="G161" s="7" cm="1">
        <f t="array" ref="G161">INT(planned(F161))</f>
        <v>151</v>
      </c>
      <c r="H161">
        <f>VLOOKUP(G161,Table4[[#All],[Cost Center]:[Client Type]],2,TRUE)</f>
        <v>47</v>
      </c>
      <c r="I161" t="str">
        <f>VLOOKUP(G161,Table4[[#All],[Cost Center]:[Client Type]],3,TRUE)</f>
        <v>ORA ZED-Ph 2-Pkgs A&amp;D</v>
      </c>
      <c r="J161" t="str">
        <f>VLOOKUP(G161,Table4[[#All],[Cost Center]:[Client Type]],5,TRUE)</f>
        <v>Osama Mezayn</v>
      </c>
    </row>
    <row r="162" spans="6:10" x14ac:dyDescent="0.25">
      <c r="F162" t="s">
        <v>114</v>
      </c>
      <c r="G162" s="7" cm="1">
        <f t="array" ref="G162">INT(planned(F162))</f>
        <v>151</v>
      </c>
      <c r="H162">
        <f>VLOOKUP(G162,Table4[[#All],[Cost Center]:[Client Type]],2,TRUE)</f>
        <v>47</v>
      </c>
      <c r="I162" t="str">
        <f>VLOOKUP(G162,Table4[[#All],[Cost Center]:[Client Type]],3,TRUE)</f>
        <v>ORA ZED-Ph 2-Pkgs A&amp;D</v>
      </c>
      <c r="J162" t="str">
        <f>VLOOKUP(G162,Table4[[#All],[Cost Center]:[Client Type]],5,TRUE)</f>
        <v>Osama Mezayn</v>
      </c>
    </row>
    <row r="163" spans="6:10" x14ac:dyDescent="0.25">
      <c r="F163" t="s">
        <v>114</v>
      </c>
      <c r="G163" s="7" cm="1">
        <f t="array" ref="G163">INT(planned(F163))</f>
        <v>151</v>
      </c>
      <c r="H163">
        <f>VLOOKUP(G163,Table4[[#All],[Cost Center]:[Client Type]],2,TRUE)</f>
        <v>47</v>
      </c>
      <c r="I163" t="str">
        <f>VLOOKUP(G163,Table4[[#All],[Cost Center]:[Client Type]],3,TRUE)</f>
        <v>ORA ZED-Ph 2-Pkgs A&amp;D</v>
      </c>
      <c r="J163" t="str">
        <f>VLOOKUP(G163,Table4[[#All],[Cost Center]:[Client Type]],5,TRUE)</f>
        <v>Osama Mezayn</v>
      </c>
    </row>
    <row r="164" spans="6:10" x14ac:dyDescent="0.25">
      <c r="F164" t="s">
        <v>114</v>
      </c>
      <c r="G164" s="7" cm="1">
        <f t="array" ref="G164">INT(planned(F164))</f>
        <v>151</v>
      </c>
      <c r="H164">
        <f>VLOOKUP(G164,Table4[[#All],[Cost Center]:[Client Type]],2,TRUE)</f>
        <v>47</v>
      </c>
      <c r="I164" t="str">
        <f>VLOOKUP(G164,Table4[[#All],[Cost Center]:[Client Type]],3,TRUE)</f>
        <v>ORA ZED-Ph 2-Pkgs A&amp;D</v>
      </c>
      <c r="J164" t="str">
        <f>VLOOKUP(G164,Table4[[#All],[Cost Center]:[Client Type]],5,TRUE)</f>
        <v>Osama Mezayn</v>
      </c>
    </row>
    <row r="165" spans="6:10" x14ac:dyDescent="0.25">
      <c r="F165" t="s">
        <v>114</v>
      </c>
      <c r="G165" s="7" cm="1">
        <f t="array" ref="G165">INT(planned(F165))</f>
        <v>151</v>
      </c>
      <c r="H165">
        <f>VLOOKUP(G165,Table4[[#All],[Cost Center]:[Client Type]],2,TRUE)</f>
        <v>47</v>
      </c>
      <c r="I165" t="str">
        <f>VLOOKUP(G165,Table4[[#All],[Cost Center]:[Client Type]],3,TRUE)</f>
        <v>ORA ZED-Ph 2-Pkgs A&amp;D</v>
      </c>
      <c r="J165" t="str">
        <f>VLOOKUP(G165,Table4[[#All],[Cost Center]:[Client Type]],5,TRUE)</f>
        <v>Osama Mezayn</v>
      </c>
    </row>
    <row r="166" spans="6:10" x14ac:dyDescent="0.25">
      <c r="F166" t="s">
        <v>114</v>
      </c>
      <c r="G166" s="7" cm="1">
        <f t="array" ref="G166">INT(planned(F166))</f>
        <v>151</v>
      </c>
      <c r="H166">
        <f>VLOOKUP(G166,Table4[[#All],[Cost Center]:[Client Type]],2,TRUE)</f>
        <v>47</v>
      </c>
      <c r="I166" t="str">
        <f>VLOOKUP(G166,Table4[[#All],[Cost Center]:[Client Type]],3,TRUE)</f>
        <v>ORA ZED-Ph 2-Pkgs A&amp;D</v>
      </c>
      <c r="J166" t="str">
        <f>VLOOKUP(G166,Table4[[#All],[Cost Center]:[Client Type]],5,TRUE)</f>
        <v>Osama Mezayn</v>
      </c>
    </row>
    <row r="167" spans="6:10" x14ac:dyDescent="0.25">
      <c r="F167" t="s">
        <v>114</v>
      </c>
      <c r="G167" s="7" cm="1">
        <f t="array" ref="G167">INT(planned(F167))</f>
        <v>151</v>
      </c>
      <c r="H167">
        <f>VLOOKUP(G167,Table4[[#All],[Cost Center]:[Client Type]],2,TRUE)</f>
        <v>47</v>
      </c>
      <c r="I167" t="str">
        <f>VLOOKUP(G167,Table4[[#All],[Cost Center]:[Client Type]],3,TRUE)</f>
        <v>ORA ZED-Ph 2-Pkgs A&amp;D</v>
      </c>
      <c r="J167" t="str">
        <f>VLOOKUP(G167,Table4[[#All],[Cost Center]:[Client Type]],5,TRUE)</f>
        <v>Osama Mezayn</v>
      </c>
    </row>
    <row r="168" spans="6:10" x14ac:dyDescent="0.25">
      <c r="F168" t="s">
        <v>114</v>
      </c>
      <c r="G168" s="7" cm="1">
        <f t="array" ref="G168">INT(planned(F168))</f>
        <v>151</v>
      </c>
      <c r="H168">
        <f>VLOOKUP(G168,Table4[[#All],[Cost Center]:[Client Type]],2,TRUE)</f>
        <v>47</v>
      </c>
      <c r="I168" t="str">
        <f>VLOOKUP(G168,Table4[[#All],[Cost Center]:[Client Type]],3,TRUE)</f>
        <v>ORA ZED-Ph 2-Pkgs A&amp;D</v>
      </c>
      <c r="J168" t="str">
        <f>VLOOKUP(G168,Table4[[#All],[Cost Center]:[Client Type]],5,TRUE)</f>
        <v>Osama Mezayn</v>
      </c>
    </row>
    <row r="169" spans="6:10" x14ac:dyDescent="0.25">
      <c r="F169" t="s">
        <v>114</v>
      </c>
      <c r="G169" s="7" cm="1">
        <f t="array" ref="G169">INT(planned(F169))</f>
        <v>151</v>
      </c>
      <c r="H169">
        <f>VLOOKUP(G169,Table4[[#All],[Cost Center]:[Client Type]],2,TRUE)</f>
        <v>47</v>
      </c>
      <c r="I169" t="str">
        <f>VLOOKUP(G169,Table4[[#All],[Cost Center]:[Client Type]],3,TRUE)</f>
        <v>ORA ZED-Ph 2-Pkgs A&amp;D</v>
      </c>
      <c r="J169" t="str">
        <f>VLOOKUP(G169,Table4[[#All],[Cost Center]:[Client Type]],5,TRUE)</f>
        <v>Osama Mezayn</v>
      </c>
    </row>
    <row r="170" spans="6:10" x14ac:dyDescent="0.25">
      <c r="F170" t="s">
        <v>114</v>
      </c>
      <c r="G170" s="7" cm="1">
        <f t="array" ref="G170">INT(planned(F170))</f>
        <v>151</v>
      </c>
      <c r="H170">
        <f>VLOOKUP(G170,Table4[[#All],[Cost Center]:[Client Type]],2,TRUE)</f>
        <v>47</v>
      </c>
      <c r="I170" t="str">
        <f>VLOOKUP(G170,Table4[[#All],[Cost Center]:[Client Type]],3,TRUE)</f>
        <v>ORA ZED-Ph 2-Pkgs A&amp;D</v>
      </c>
      <c r="J170" t="str">
        <f>VLOOKUP(G170,Table4[[#All],[Cost Center]:[Client Type]],5,TRUE)</f>
        <v>Osama Mezayn</v>
      </c>
    </row>
    <row r="171" spans="6:10" x14ac:dyDescent="0.25">
      <c r="F171" t="s">
        <v>114</v>
      </c>
      <c r="G171" s="7" cm="1">
        <f t="array" ref="G171">INT(planned(F171))</f>
        <v>151</v>
      </c>
      <c r="H171">
        <f>VLOOKUP(G171,Table4[[#All],[Cost Center]:[Client Type]],2,TRUE)</f>
        <v>47</v>
      </c>
      <c r="I171" t="str">
        <f>VLOOKUP(G171,Table4[[#All],[Cost Center]:[Client Type]],3,TRUE)</f>
        <v>ORA ZED-Ph 2-Pkgs A&amp;D</v>
      </c>
      <c r="J171" t="str">
        <f>VLOOKUP(G171,Table4[[#All],[Cost Center]:[Client Type]],5,TRUE)</f>
        <v>Osama Mezayn</v>
      </c>
    </row>
    <row r="172" spans="6:10" x14ac:dyDescent="0.25">
      <c r="F172" t="s">
        <v>114</v>
      </c>
      <c r="G172" s="7" cm="1">
        <f t="array" ref="G172">INT(planned(F172))</f>
        <v>151</v>
      </c>
      <c r="H172">
        <f>VLOOKUP(G172,Table4[[#All],[Cost Center]:[Client Type]],2,TRUE)</f>
        <v>47</v>
      </c>
      <c r="I172" t="str">
        <f>VLOOKUP(G172,Table4[[#All],[Cost Center]:[Client Type]],3,TRUE)</f>
        <v>ORA ZED-Ph 2-Pkgs A&amp;D</v>
      </c>
      <c r="J172" t="str">
        <f>VLOOKUP(G172,Table4[[#All],[Cost Center]:[Client Type]],5,TRUE)</f>
        <v>Osama Mezayn</v>
      </c>
    </row>
    <row r="173" spans="6:10" x14ac:dyDescent="0.25">
      <c r="F173" t="s">
        <v>114</v>
      </c>
      <c r="G173" s="7" cm="1">
        <f t="array" ref="G173">INT(planned(F173))</f>
        <v>151</v>
      </c>
      <c r="H173">
        <f>VLOOKUP(G173,Table4[[#All],[Cost Center]:[Client Type]],2,TRUE)</f>
        <v>47</v>
      </c>
      <c r="I173" t="str">
        <f>VLOOKUP(G173,Table4[[#All],[Cost Center]:[Client Type]],3,TRUE)</f>
        <v>ORA ZED-Ph 2-Pkgs A&amp;D</v>
      </c>
      <c r="J173" t="str">
        <f>VLOOKUP(G173,Table4[[#All],[Cost Center]:[Client Type]],5,TRUE)</f>
        <v>Osama Mezayn</v>
      </c>
    </row>
    <row r="174" spans="6:10" x14ac:dyDescent="0.25">
      <c r="F174" t="s">
        <v>114</v>
      </c>
      <c r="G174" s="7" cm="1">
        <f t="array" ref="G174">INT(planned(F174))</f>
        <v>151</v>
      </c>
      <c r="H174">
        <f>VLOOKUP(G174,Table4[[#All],[Cost Center]:[Client Type]],2,TRUE)</f>
        <v>47</v>
      </c>
      <c r="I174" t="str">
        <f>VLOOKUP(G174,Table4[[#All],[Cost Center]:[Client Type]],3,TRUE)</f>
        <v>ORA ZED-Ph 2-Pkgs A&amp;D</v>
      </c>
      <c r="J174" t="str">
        <f>VLOOKUP(G174,Table4[[#All],[Cost Center]:[Client Type]],5,TRUE)</f>
        <v>Osama Mezayn</v>
      </c>
    </row>
    <row r="175" spans="6:10" x14ac:dyDescent="0.25">
      <c r="F175" t="s">
        <v>114</v>
      </c>
      <c r="G175" s="7" cm="1">
        <f t="array" ref="G175">INT(planned(F175))</f>
        <v>151</v>
      </c>
      <c r="H175">
        <f>VLOOKUP(G175,Table4[[#All],[Cost Center]:[Client Type]],2,TRUE)</f>
        <v>47</v>
      </c>
      <c r="I175" t="str">
        <f>VLOOKUP(G175,Table4[[#All],[Cost Center]:[Client Type]],3,TRUE)</f>
        <v>ORA ZED-Ph 2-Pkgs A&amp;D</v>
      </c>
      <c r="J175" t="str">
        <f>VLOOKUP(G175,Table4[[#All],[Cost Center]:[Client Type]],5,TRUE)</f>
        <v>Osama Mezayn</v>
      </c>
    </row>
    <row r="176" spans="6:10" x14ac:dyDescent="0.25">
      <c r="F176" t="s">
        <v>114</v>
      </c>
      <c r="G176" s="7" cm="1">
        <f t="array" ref="G176">INT(planned(F176))</f>
        <v>151</v>
      </c>
      <c r="H176">
        <f>VLOOKUP(G176,Table4[[#All],[Cost Center]:[Client Type]],2,TRUE)</f>
        <v>47</v>
      </c>
      <c r="I176" t="str">
        <f>VLOOKUP(G176,Table4[[#All],[Cost Center]:[Client Type]],3,TRUE)</f>
        <v>ORA ZED-Ph 2-Pkgs A&amp;D</v>
      </c>
      <c r="J176" t="str">
        <f>VLOOKUP(G176,Table4[[#All],[Cost Center]:[Client Type]],5,TRUE)</f>
        <v>Osama Mezayn</v>
      </c>
    </row>
    <row r="177" spans="6:10" x14ac:dyDescent="0.25">
      <c r="F177" t="s">
        <v>114</v>
      </c>
      <c r="G177" s="7" cm="1">
        <f t="array" ref="G177">INT(planned(F177))</f>
        <v>151</v>
      </c>
      <c r="H177">
        <f>VLOOKUP(G177,Table4[[#All],[Cost Center]:[Client Type]],2,TRUE)</f>
        <v>47</v>
      </c>
      <c r="I177" t="str">
        <f>VLOOKUP(G177,Table4[[#All],[Cost Center]:[Client Type]],3,TRUE)</f>
        <v>ORA ZED-Ph 2-Pkgs A&amp;D</v>
      </c>
      <c r="J177" t="str">
        <f>VLOOKUP(G177,Table4[[#All],[Cost Center]:[Client Type]],5,TRUE)</f>
        <v>Osama Mezayn</v>
      </c>
    </row>
    <row r="178" spans="6:10" x14ac:dyDescent="0.25">
      <c r="F178" t="s">
        <v>114</v>
      </c>
      <c r="G178" s="7" cm="1">
        <f t="array" ref="G178">INT(planned(F178))</f>
        <v>151</v>
      </c>
      <c r="H178">
        <f>VLOOKUP(G178,Table4[[#All],[Cost Center]:[Client Type]],2,TRUE)</f>
        <v>47</v>
      </c>
      <c r="I178" t="str">
        <f>VLOOKUP(G178,Table4[[#All],[Cost Center]:[Client Type]],3,TRUE)</f>
        <v>ORA ZED-Ph 2-Pkgs A&amp;D</v>
      </c>
      <c r="J178" t="str">
        <f>VLOOKUP(G178,Table4[[#All],[Cost Center]:[Client Type]],5,TRUE)</f>
        <v>Osama Mezayn</v>
      </c>
    </row>
    <row r="179" spans="6:10" x14ac:dyDescent="0.25">
      <c r="F179" t="s">
        <v>114</v>
      </c>
      <c r="G179" s="7" cm="1">
        <f t="array" ref="G179">INT(planned(F179))</f>
        <v>151</v>
      </c>
      <c r="H179">
        <f>VLOOKUP(G179,Table4[[#All],[Cost Center]:[Client Type]],2,TRUE)</f>
        <v>47</v>
      </c>
      <c r="I179" t="str">
        <f>VLOOKUP(G179,Table4[[#All],[Cost Center]:[Client Type]],3,TRUE)</f>
        <v>ORA ZED-Ph 2-Pkgs A&amp;D</v>
      </c>
      <c r="J179" t="str">
        <f>VLOOKUP(G179,Table4[[#All],[Cost Center]:[Client Type]],5,TRUE)</f>
        <v>Osama Mezayn</v>
      </c>
    </row>
    <row r="180" spans="6:10" x14ac:dyDescent="0.25">
      <c r="F180" t="s">
        <v>114</v>
      </c>
      <c r="G180" s="7" cm="1">
        <f t="array" ref="G180">INT(planned(F180))</f>
        <v>151</v>
      </c>
      <c r="H180">
        <f>VLOOKUP(G180,Table4[[#All],[Cost Center]:[Client Type]],2,TRUE)</f>
        <v>47</v>
      </c>
      <c r="I180" t="str">
        <f>VLOOKUP(G180,Table4[[#All],[Cost Center]:[Client Type]],3,TRUE)</f>
        <v>ORA ZED-Ph 2-Pkgs A&amp;D</v>
      </c>
      <c r="J180" t="str">
        <f>VLOOKUP(G180,Table4[[#All],[Cost Center]:[Client Type]],5,TRUE)</f>
        <v>Osama Mezayn</v>
      </c>
    </row>
    <row r="181" spans="6:10" x14ac:dyDescent="0.25">
      <c r="F181" t="s">
        <v>114</v>
      </c>
      <c r="G181" s="7" cm="1">
        <f t="array" ref="G181">INT(planned(F181))</f>
        <v>151</v>
      </c>
      <c r="H181">
        <f>VLOOKUP(G181,Table4[[#All],[Cost Center]:[Client Type]],2,TRUE)</f>
        <v>47</v>
      </c>
      <c r="I181" t="str">
        <f>VLOOKUP(G181,Table4[[#All],[Cost Center]:[Client Type]],3,TRUE)</f>
        <v>ORA ZED-Ph 2-Pkgs A&amp;D</v>
      </c>
      <c r="J181" t="str">
        <f>VLOOKUP(G181,Table4[[#All],[Cost Center]:[Client Type]],5,TRUE)</f>
        <v>Osama Mezayn</v>
      </c>
    </row>
    <row r="182" spans="6:10" x14ac:dyDescent="0.25">
      <c r="F182" t="s">
        <v>114</v>
      </c>
      <c r="G182" s="7" cm="1">
        <f t="array" ref="G182">INT(planned(F182))</f>
        <v>151</v>
      </c>
      <c r="H182">
        <f>VLOOKUP(G182,Table4[[#All],[Cost Center]:[Client Type]],2,TRUE)</f>
        <v>47</v>
      </c>
      <c r="I182" t="str">
        <f>VLOOKUP(G182,Table4[[#All],[Cost Center]:[Client Type]],3,TRUE)</f>
        <v>ORA ZED-Ph 2-Pkgs A&amp;D</v>
      </c>
      <c r="J182" t="str">
        <f>VLOOKUP(G182,Table4[[#All],[Cost Center]:[Client Type]],5,TRUE)</f>
        <v>Osama Mezayn</v>
      </c>
    </row>
    <row r="183" spans="6:10" x14ac:dyDescent="0.25">
      <c r="F183" t="s">
        <v>114</v>
      </c>
      <c r="G183" s="7" cm="1">
        <f t="array" ref="G183">INT(planned(F183))</f>
        <v>151</v>
      </c>
      <c r="H183">
        <f>VLOOKUP(G183,Table4[[#All],[Cost Center]:[Client Type]],2,TRUE)</f>
        <v>47</v>
      </c>
      <c r="I183" t="str">
        <f>VLOOKUP(G183,Table4[[#All],[Cost Center]:[Client Type]],3,TRUE)</f>
        <v>ORA ZED-Ph 2-Pkgs A&amp;D</v>
      </c>
      <c r="J183" t="str">
        <f>VLOOKUP(G183,Table4[[#All],[Cost Center]:[Client Type]],5,TRUE)</f>
        <v>Osama Mezayn</v>
      </c>
    </row>
    <row r="184" spans="6:10" x14ac:dyDescent="0.25">
      <c r="F184" t="s">
        <v>114</v>
      </c>
      <c r="G184" s="7" cm="1">
        <f t="array" ref="G184">INT(planned(F184))</f>
        <v>151</v>
      </c>
      <c r="H184">
        <f>VLOOKUP(G184,Table4[[#All],[Cost Center]:[Client Type]],2,TRUE)</f>
        <v>47</v>
      </c>
      <c r="I184" t="str">
        <f>VLOOKUP(G184,Table4[[#All],[Cost Center]:[Client Type]],3,TRUE)</f>
        <v>ORA ZED-Ph 2-Pkgs A&amp;D</v>
      </c>
      <c r="J184" t="str">
        <f>VLOOKUP(G184,Table4[[#All],[Cost Center]:[Client Type]],5,TRUE)</f>
        <v>Osama Mezayn</v>
      </c>
    </row>
    <row r="185" spans="6:10" x14ac:dyDescent="0.25">
      <c r="F185" t="s">
        <v>114</v>
      </c>
      <c r="G185" s="7" cm="1">
        <f t="array" ref="G185">INT(planned(F185))</f>
        <v>151</v>
      </c>
      <c r="H185">
        <f>VLOOKUP(G185,Table4[[#All],[Cost Center]:[Client Type]],2,TRUE)</f>
        <v>47</v>
      </c>
      <c r="I185" t="str">
        <f>VLOOKUP(G185,Table4[[#All],[Cost Center]:[Client Type]],3,TRUE)</f>
        <v>ORA ZED-Ph 2-Pkgs A&amp;D</v>
      </c>
      <c r="J185" t="str">
        <f>VLOOKUP(G185,Table4[[#All],[Cost Center]:[Client Type]],5,TRUE)</f>
        <v>Osama Mezayn</v>
      </c>
    </row>
    <row r="186" spans="6:10" x14ac:dyDescent="0.25">
      <c r="F186" t="s">
        <v>114</v>
      </c>
      <c r="G186" s="7" cm="1">
        <f t="array" ref="G186">INT(planned(F186))</f>
        <v>151</v>
      </c>
      <c r="H186">
        <f>VLOOKUP(G186,Table4[[#All],[Cost Center]:[Client Type]],2,TRUE)</f>
        <v>47</v>
      </c>
      <c r="I186" t="str">
        <f>VLOOKUP(G186,Table4[[#All],[Cost Center]:[Client Type]],3,TRUE)</f>
        <v>ORA ZED-Ph 2-Pkgs A&amp;D</v>
      </c>
      <c r="J186" t="str">
        <f>VLOOKUP(G186,Table4[[#All],[Cost Center]:[Client Type]],5,TRUE)</f>
        <v>Osama Mezayn</v>
      </c>
    </row>
    <row r="187" spans="6:10" x14ac:dyDescent="0.25">
      <c r="F187" t="s">
        <v>114</v>
      </c>
      <c r="G187" s="7" cm="1">
        <f t="array" ref="G187">INT(planned(F187))</f>
        <v>151</v>
      </c>
      <c r="H187">
        <f>VLOOKUP(G187,Table4[[#All],[Cost Center]:[Client Type]],2,TRUE)</f>
        <v>47</v>
      </c>
      <c r="I187" t="str">
        <f>VLOOKUP(G187,Table4[[#All],[Cost Center]:[Client Type]],3,TRUE)</f>
        <v>ORA ZED-Ph 2-Pkgs A&amp;D</v>
      </c>
      <c r="J187" t="str">
        <f>VLOOKUP(G187,Table4[[#All],[Cost Center]:[Client Type]],5,TRUE)</f>
        <v>Osama Mezayn</v>
      </c>
    </row>
    <row r="188" spans="6:10" x14ac:dyDescent="0.25">
      <c r="F188" t="s">
        <v>114</v>
      </c>
      <c r="G188" s="7" cm="1">
        <f t="array" ref="G188">INT(planned(F188))</f>
        <v>151</v>
      </c>
      <c r="H188">
        <f>VLOOKUP(G188,Table4[[#All],[Cost Center]:[Client Type]],2,TRUE)</f>
        <v>47</v>
      </c>
      <c r="I188" t="str">
        <f>VLOOKUP(G188,Table4[[#All],[Cost Center]:[Client Type]],3,TRUE)</f>
        <v>ORA ZED-Ph 2-Pkgs A&amp;D</v>
      </c>
      <c r="J188" t="str">
        <f>VLOOKUP(G188,Table4[[#All],[Cost Center]:[Client Type]],5,TRUE)</f>
        <v>Osama Mezayn</v>
      </c>
    </row>
    <row r="189" spans="6:10" x14ac:dyDescent="0.25">
      <c r="F189" t="s">
        <v>114</v>
      </c>
      <c r="G189" s="7" cm="1">
        <f t="array" ref="G189">INT(planned(F189))</f>
        <v>151</v>
      </c>
      <c r="H189">
        <f>VLOOKUP(G189,Table4[[#All],[Cost Center]:[Client Type]],2,TRUE)</f>
        <v>47</v>
      </c>
      <c r="I189" t="str">
        <f>VLOOKUP(G189,Table4[[#All],[Cost Center]:[Client Type]],3,TRUE)</f>
        <v>ORA ZED-Ph 2-Pkgs A&amp;D</v>
      </c>
      <c r="J189" t="str">
        <f>VLOOKUP(G189,Table4[[#All],[Cost Center]:[Client Type]],5,TRUE)</f>
        <v>Osama Mezayn</v>
      </c>
    </row>
    <row r="190" spans="6:10" x14ac:dyDescent="0.25">
      <c r="F190" t="s">
        <v>114</v>
      </c>
      <c r="G190" s="7" cm="1">
        <f t="array" ref="G190">INT(planned(F190))</f>
        <v>151</v>
      </c>
      <c r="H190">
        <f>VLOOKUP(G190,Table4[[#All],[Cost Center]:[Client Type]],2,TRUE)</f>
        <v>47</v>
      </c>
      <c r="I190" t="str">
        <f>VLOOKUP(G190,Table4[[#All],[Cost Center]:[Client Type]],3,TRUE)</f>
        <v>ORA ZED-Ph 2-Pkgs A&amp;D</v>
      </c>
      <c r="J190" t="str">
        <f>VLOOKUP(G190,Table4[[#All],[Cost Center]:[Client Type]],5,TRUE)</f>
        <v>Osama Mezayn</v>
      </c>
    </row>
    <row r="191" spans="6:10" x14ac:dyDescent="0.25">
      <c r="F191" t="s">
        <v>114</v>
      </c>
      <c r="G191" s="7" cm="1">
        <f t="array" ref="G191">INT(planned(F191))</f>
        <v>151</v>
      </c>
      <c r="H191">
        <f>VLOOKUP(G191,Table4[[#All],[Cost Center]:[Client Type]],2,TRUE)</f>
        <v>47</v>
      </c>
      <c r="I191" t="str">
        <f>VLOOKUP(G191,Table4[[#All],[Cost Center]:[Client Type]],3,TRUE)</f>
        <v>ORA ZED-Ph 2-Pkgs A&amp;D</v>
      </c>
      <c r="J191" t="str">
        <f>VLOOKUP(G191,Table4[[#All],[Cost Center]:[Client Type]],5,TRUE)</f>
        <v>Osama Mezayn</v>
      </c>
    </row>
    <row r="192" spans="6:10" x14ac:dyDescent="0.25">
      <c r="F192" t="s">
        <v>114</v>
      </c>
      <c r="G192" s="7" cm="1">
        <f t="array" ref="G192">INT(planned(F192))</f>
        <v>151</v>
      </c>
      <c r="H192">
        <f>VLOOKUP(G192,Table4[[#All],[Cost Center]:[Client Type]],2,TRUE)</f>
        <v>47</v>
      </c>
      <c r="I192" t="str">
        <f>VLOOKUP(G192,Table4[[#All],[Cost Center]:[Client Type]],3,TRUE)</f>
        <v>ORA ZED-Ph 2-Pkgs A&amp;D</v>
      </c>
      <c r="J192" t="str">
        <f>VLOOKUP(G192,Table4[[#All],[Cost Center]:[Client Type]],5,TRUE)</f>
        <v>Osama Mezayn</v>
      </c>
    </row>
    <row r="193" spans="6:10" x14ac:dyDescent="0.25">
      <c r="F193" t="s">
        <v>114</v>
      </c>
      <c r="G193" s="7" cm="1">
        <f t="array" ref="G193">INT(planned(F193))</f>
        <v>151</v>
      </c>
      <c r="H193">
        <f>VLOOKUP(G193,Table4[[#All],[Cost Center]:[Client Type]],2,TRUE)</f>
        <v>47</v>
      </c>
      <c r="I193" t="str">
        <f>VLOOKUP(G193,Table4[[#All],[Cost Center]:[Client Type]],3,TRUE)</f>
        <v>ORA ZED-Ph 2-Pkgs A&amp;D</v>
      </c>
      <c r="J193" t="str">
        <f>VLOOKUP(G193,Table4[[#All],[Cost Center]:[Client Type]],5,TRUE)</f>
        <v>Osama Mezayn</v>
      </c>
    </row>
    <row r="194" spans="6:10" x14ac:dyDescent="0.25">
      <c r="F194" t="s">
        <v>114</v>
      </c>
      <c r="G194" s="7" cm="1">
        <f t="array" ref="G194">INT(planned(F194))</f>
        <v>151</v>
      </c>
      <c r="H194">
        <f>VLOOKUP(G194,Table4[[#All],[Cost Center]:[Client Type]],2,TRUE)</f>
        <v>47</v>
      </c>
      <c r="I194" t="str">
        <f>VLOOKUP(G194,Table4[[#All],[Cost Center]:[Client Type]],3,TRUE)</f>
        <v>ORA ZED-Ph 2-Pkgs A&amp;D</v>
      </c>
      <c r="J194" t="str">
        <f>VLOOKUP(G194,Table4[[#All],[Cost Center]:[Client Type]],5,TRUE)</f>
        <v>Osama Mezayn</v>
      </c>
    </row>
    <row r="195" spans="6:10" x14ac:dyDescent="0.25">
      <c r="F195" t="s">
        <v>114</v>
      </c>
      <c r="G195" s="7" cm="1">
        <f t="array" ref="G195">INT(planned(F195))</f>
        <v>151</v>
      </c>
      <c r="H195">
        <f>VLOOKUP(G195,Table4[[#All],[Cost Center]:[Client Type]],2,TRUE)</f>
        <v>47</v>
      </c>
      <c r="I195" t="str">
        <f>VLOOKUP(G195,Table4[[#All],[Cost Center]:[Client Type]],3,TRUE)</f>
        <v>ORA ZED-Ph 2-Pkgs A&amp;D</v>
      </c>
      <c r="J195" t="str">
        <f>VLOOKUP(G195,Table4[[#All],[Cost Center]:[Client Type]],5,TRUE)</f>
        <v>Osama Mezayn</v>
      </c>
    </row>
    <row r="196" spans="6:10" x14ac:dyDescent="0.25">
      <c r="F196" t="s">
        <v>114</v>
      </c>
      <c r="G196" s="7" cm="1">
        <f t="array" ref="G196">INT(planned(F196))</f>
        <v>151</v>
      </c>
      <c r="H196">
        <f>VLOOKUP(G196,Table4[[#All],[Cost Center]:[Client Type]],2,TRUE)</f>
        <v>47</v>
      </c>
      <c r="I196" t="str">
        <f>VLOOKUP(G196,Table4[[#All],[Cost Center]:[Client Type]],3,TRUE)</f>
        <v>ORA ZED-Ph 2-Pkgs A&amp;D</v>
      </c>
      <c r="J196" t="str">
        <f>VLOOKUP(G196,Table4[[#All],[Cost Center]:[Client Type]],5,TRUE)</f>
        <v>Osama Mezayn</v>
      </c>
    </row>
    <row r="197" spans="6:10" x14ac:dyDescent="0.25">
      <c r="F197" t="s">
        <v>114</v>
      </c>
      <c r="G197" s="7" cm="1">
        <f t="array" ref="G197">INT(planned(F197))</f>
        <v>151</v>
      </c>
      <c r="H197">
        <f>VLOOKUP(G197,Table4[[#All],[Cost Center]:[Client Type]],2,TRUE)</f>
        <v>47</v>
      </c>
      <c r="I197" t="str">
        <f>VLOOKUP(G197,Table4[[#All],[Cost Center]:[Client Type]],3,TRUE)</f>
        <v>ORA ZED-Ph 2-Pkgs A&amp;D</v>
      </c>
      <c r="J197" t="str">
        <f>VLOOKUP(G197,Table4[[#All],[Cost Center]:[Client Type]],5,TRUE)</f>
        <v>Osama Mezayn</v>
      </c>
    </row>
    <row r="198" spans="6:10" x14ac:dyDescent="0.25">
      <c r="F198" t="s">
        <v>114</v>
      </c>
      <c r="G198" s="7" cm="1">
        <f t="array" ref="G198">INT(planned(F198))</f>
        <v>151</v>
      </c>
      <c r="H198">
        <f>VLOOKUP(G198,Table4[[#All],[Cost Center]:[Client Type]],2,TRUE)</f>
        <v>47</v>
      </c>
      <c r="I198" t="str">
        <f>VLOOKUP(G198,Table4[[#All],[Cost Center]:[Client Type]],3,TRUE)</f>
        <v>ORA ZED-Ph 2-Pkgs A&amp;D</v>
      </c>
      <c r="J198" t="str">
        <f>VLOOKUP(G198,Table4[[#All],[Cost Center]:[Client Type]],5,TRUE)</f>
        <v>Osama Mezayn</v>
      </c>
    </row>
    <row r="199" spans="6:10" x14ac:dyDescent="0.25">
      <c r="F199" t="s">
        <v>114</v>
      </c>
      <c r="G199" s="7" cm="1">
        <f t="array" ref="G199">INT(planned(F199))</f>
        <v>151</v>
      </c>
      <c r="H199">
        <f>VLOOKUP(G199,Table4[[#All],[Cost Center]:[Client Type]],2,TRUE)</f>
        <v>47</v>
      </c>
      <c r="I199" t="str">
        <f>VLOOKUP(G199,Table4[[#All],[Cost Center]:[Client Type]],3,TRUE)</f>
        <v>ORA ZED-Ph 2-Pkgs A&amp;D</v>
      </c>
      <c r="J199" t="str">
        <f>VLOOKUP(G199,Table4[[#All],[Cost Center]:[Client Type]],5,TRUE)</f>
        <v>Osama Mezayn</v>
      </c>
    </row>
    <row r="200" spans="6:10" x14ac:dyDescent="0.25">
      <c r="F200" t="s">
        <v>114</v>
      </c>
      <c r="G200" s="7" cm="1">
        <f t="array" ref="G200">INT(planned(F200))</f>
        <v>151</v>
      </c>
      <c r="H200">
        <f>VLOOKUP(G200,Table4[[#All],[Cost Center]:[Client Type]],2,TRUE)</f>
        <v>47</v>
      </c>
      <c r="I200" t="str">
        <f>VLOOKUP(G200,Table4[[#All],[Cost Center]:[Client Type]],3,TRUE)</f>
        <v>ORA ZED-Ph 2-Pkgs A&amp;D</v>
      </c>
      <c r="J200" t="str">
        <f>VLOOKUP(G200,Table4[[#All],[Cost Center]:[Client Type]],5,TRUE)</f>
        <v>Osama Mezayn</v>
      </c>
    </row>
    <row r="201" spans="6:10" x14ac:dyDescent="0.25">
      <c r="F201" t="s">
        <v>114</v>
      </c>
      <c r="G201" s="7" cm="1">
        <f t="array" ref="G201">INT(planned(F201))</f>
        <v>151</v>
      </c>
      <c r="H201">
        <f>VLOOKUP(G201,Table4[[#All],[Cost Center]:[Client Type]],2,TRUE)</f>
        <v>47</v>
      </c>
      <c r="I201" t="str">
        <f>VLOOKUP(G201,Table4[[#All],[Cost Center]:[Client Type]],3,TRUE)</f>
        <v>ORA ZED-Ph 2-Pkgs A&amp;D</v>
      </c>
      <c r="J201" t="str">
        <f>VLOOKUP(G201,Table4[[#All],[Cost Center]:[Client Type]],5,TRUE)</f>
        <v>Osama Mezayn</v>
      </c>
    </row>
    <row r="202" spans="6:10" x14ac:dyDescent="0.25">
      <c r="F202" t="s">
        <v>114</v>
      </c>
      <c r="G202" s="7" cm="1">
        <f t="array" ref="G202">INT(planned(F202))</f>
        <v>151</v>
      </c>
      <c r="H202">
        <f>VLOOKUP(G202,Table4[[#All],[Cost Center]:[Client Type]],2,TRUE)</f>
        <v>47</v>
      </c>
      <c r="I202" t="str">
        <f>VLOOKUP(G202,Table4[[#All],[Cost Center]:[Client Type]],3,TRUE)</f>
        <v>ORA ZED-Ph 2-Pkgs A&amp;D</v>
      </c>
      <c r="J202" t="str">
        <f>VLOOKUP(G202,Table4[[#All],[Cost Center]:[Client Type]],5,TRUE)</f>
        <v>Osama Mezayn</v>
      </c>
    </row>
    <row r="203" spans="6:10" x14ac:dyDescent="0.25">
      <c r="F203" t="s">
        <v>114</v>
      </c>
      <c r="G203" s="7" cm="1">
        <f t="array" ref="G203">INT(planned(F203))</f>
        <v>151</v>
      </c>
      <c r="H203">
        <f>VLOOKUP(G203,Table4[[#All],[Cost Center]:[Client Type]],2,TRUE)</f>
        <v>47</v>
      </c>
      <c r="I203" t="str">
        <f>VLOOKUP(G203,Table4[[#All],[Cost Center]:[Client Type]],3,TRUE)</f>
        <v>ORA ZED-Ph 2-Pkgs A&amp;D</v>
      </c>
      <c r="J203" t="str">
        <f>VLOOKUP(G203,Table4[[#All],[Cost Center]:[Client Type]],5,TRUE)</f>
        <v>Osama Mezayn</v>
      </c>
    </row>
    <row r="204" spans="6:10" x14ac:dyDescent="0.25">
      <c r="F204" t="s">
        <v>114</v>
      </c>
      <c r="G204" s="7" cm="1">
        <f t="array" ref="G204">INT(planned(F204))</f>
        <v>151</v>
      </c>
      <c r="H204">
        <f>VLOOKUP(G204,Table4[[#All],[Cost Center]:[Client Type]],2,TRUE)</f>
        <v>47</v>
      </c>
      <c r="I204" t="str">
        <f>VLOOKUP(G204,Table4[[#All],[Cost Center]:[Client Type]],3,TRUE)</f>
        <v>ORA ZED-Ph 2-Pkgs A&amp;D</v>
      </c>
      <c r="J204" t="str">
        <f>VLOOKUP(G204,Table4[[#All],[Cost Center]:[Client Type]],5,TRUE)</f>
        <v>Osama Mezayn</v>
      </c>
    </row>
    <row r="205" spans="6:10" x14ac:dyDescent="0.25">
      <c r="F205" t="s">
        <v>349</v>
      </c>
      <c r="G205" s="7" cm="1">
        <f t="array" ref="G205">INT(planned(F205))</f>
        <v>185</v>
      </c>
      <c r="H205">
        <f>VLOOKUP(G205,Table4[[#All],[Cost Center]:[Client Type]],2,TRUE)</f>
        <v>128</v>
      </c>
      <c r="I205" t="str">
        <f>VLOOKUP(G205,Table4[[#All],[Cost Center]:[Client Type]],3,TRUE)</f>
        <v>Ora Zed Landscape Ph1</v>
      </c>
      <c r="J205" t="str">
        <f>VLOOKUP(G205,Table4[[#All],[Cost Center]:[Client Type]],5,TRUE)</f>
        <v>Osama Mezayn</v>
      </c>
    </row>
    <row r="206" spans="6:10" x14ac:dyDescent="0.25">
      <c r="F206" t="s">
        <v>349</v>
      </c>
      <c r="G206" s="7" cm="1">
        <f t="array" ref="G206">INT(planned(F206))</f>
        <v>185</v>
      </c>
      <c r="H206">
        <f>VLOOKUP(G206,Table4[[#All],[Cost Center]:[Client Type]],2,TRUE)</f>
        <v>128</v>
      </c>
      <c r="I206" t="str">
        <f>VLOOKUP(G206,Table4[[#All],[Cost Center]:[Client Type]],3,TRUE)</f>
        <v>Ora Zed Landscape Ph1</v>
      </c>
      <c r="J206" t="str">
        <f>VLOOKUP(G206,Table4[[#All],[Cost Center]:[Client Type]],5,TRUE)</f>
        <v>Osama Mezayn</v>
      </c>
    </row>
    <row r="207" spans="6:10" x14ac:dyDescent="0.25">
      <c r="F207" t="s">
        <v>349</v>
      </c>
      <c r="G207" s="7" cm="1">
        <f t="array" ref="G207">INT(planned(F207))</f>
        <v>185</v>
      </c>
      <c r="H207">
        <f>VLOOKUP(G207,Table4[[#All],[Cost Center]:[Client Type]],2,TRUE)</f>
        <v>128</v>
      </c>
      <c r="I207" t="str">
        <f>VLOOKUP(G207,Table4[[#All],[Cost Center]:[Client Type]],3,TRUE)</f>
        <v>Ora Zed Landscape Ph1</v>
      </c>
      <c r="J207" t="str">
        <f>VLOOKUP(G207,Table4[[#All],[Cost Center]:[Client Type]],5,TRUE)</f>
        <v>Osama Mezayn</v>
      </c>
    </row>
    <row r="208" spans="6:10" x14ac:dyDescent="0.25">
      <c r="F208" t="s">
        <v>349</v>
      </c>
      <c r="G208" s="7" cm="1">
        <f t="array" ref="G208">INT(planned(F208))</f>
        <v>185</v>
      </c>
      <c r="H208">
        <f>VLOOKUP(G208,Table4[[#All],[Cost Center]:[Client Type]],2,TRUE)</f>
        <v>128</v>
      </c>
      <c r="I208" t="str">
        <f>VLOOKUP(G208,Table4[[#All],[Cost Center]:[Client Type]],3,TRUE)</f>
        <v>Ora Zed Landscape Ph1</v>
      </c>
      <c r="J208" t="str">
        <f>VLOOKUP(G208,Table4[[#All],[Cost Center]:[Client Type]],5,TRUE)</f>
        <v>Osama Mezayn</v>
      </c>
    </row>
    <row r="209" spans="6:10" x14ac:dyDescent="0.25">
      <c r="F209" t="s">
        <v>349</v>
      </c>
      <c r="G209" s="7" cm="1">
        <f t="array" ref="G209">INT(planned(F209))</f>
        <v>185</v>
      </c>
      <c r="H209">
        <f>VLOOKUP(G209,Table4[[#All],[Cost Center]:[Client Type]],2,TRUE)</f>
        <v>128</v>
      </c>
      <c r="I209" t="str">
        <f>VLOOKUP(G209,Table4[[#All],[Cost Center]:[Client Type]],3,TRUE)</f>
        <v>Ora Zed Landscape Ph1</v>
      </c>
      <c r="J209" t="str">
        <f>VLOOKUP(G209,Table4[[#All],[Cost Center]:[Client Type]],5,TRUE)</f>
        <v>Osama Mezayn</v>
      </c>
    </row>
    <row r="210" spans="6:10" x14ac:dyDescent="0.25">
      <c r="F210" t="s">
        <v>349</v>
      </c>
      <c r="G210" s="7" cm="1">
        <f t="array" ref="G210">INT(planned(F210))</f>
        <v>185</v>
      </c>
      <c r="H210">
        <f>VLOOKUP(G210,Table4[[#All],[Cost Center]:[Client Type]],2,TRUE)</f>
        <v>128</v>
      </c>
      <c r="I210" t="str">
        <f>VLOOKUP(G210,Table4[[#All],[Cost Center]:[Client Type]],3,TRUE)</f>
        <v>Ora Zed Landscape Ph1</v>
      </c>
      <c r="J210" t="str">
        <f>VLOOKUP(G210,Table4[[#All],[Cost Center]:[Client Type]],5,TRUE)</f>
        <v>Osama Mezayn</v>
      </c>
    </row>
    <row r="211" spans="6:10" x14ac:dyDescent="0.25">
      <c r="F211" t="s">
        <v>349</v>
      </c>
      <c r="G211" s="7" cm="1">
        <f t="array" ref="G211">INT(planned(F211))</f>
        <v>185</v>
      </c>
      <c r="H211">
        <f>VLOOKUP(G211,Table4[[#All],[Cost Center]:[Client Type]],2,TRUE)</f>
        <v>128</v>
      </c>
      <c r="I211" t="str">
        <f>VLOOKUP(G211,Table4[[#All],[Cost Center]:[Client Type]],3,TRUE)</f>
        <v>Ora Zed Landscape Ph1</v>
      </c>
      <c r="J211" t="str">
        <f>VLOOKUP(G211,Table4[[#All],[Cost Center]:[Client Type]],5,TRUE)</f>
        <v>Osama Mezayn</v>
      </c>
    </row>
    <row r="212" spans="6:10" x14ac:dyDescent="0.25">
      <c r="F212" t="s">
        <v>349</v>
      </c>
      <c r="G212" s="7" cm="1">
        <f t="array" ref="G212">INT(planned(F212))</f>
        <v>185</v>
      </c>
      <c r="H212">
        <f>VLOOKUP(G212,Table4[[#All],[Cost Center]:[Client Type]],2,TRUE)</f>
        <v>128</v>
      </c>
      <c r="I212" t="str">
        <f>VLOOKUP(G212,Table4[[#All],[Cost Center]:[Client Type]],3,TRUE)</f>
        <v>Ora Zed Landscape Ph1</v>
      </c>
      <c r="J212" t="str">
        <f>VLOOKUP(G212,Table4[[#All],[Cost Center]:[Client Type]],5,TRUE)</f>
        <v>Osama Mezayn</v>
      </c>
    </row>
    <row r="213" spans="6:10" x14ac:dyDescent="0.25">
      <c r="F213" t="s">
        <v>349</v>
      </c>
      <c r="G213" s="7" cm="1">
        <f t="array" ref="G213">INT(planned(F213))</f>
        <v>185</v>
      </c>
      <c r="H213">
        <f>VLOOKUP(G213,Table4[[#All],[Cost Center]:[Client Type]],2,TRUE)</f>
        <v>128</v>
      </c>
      <c r="I213" t="str">
        <f>VLOOKUP(G213,Table4[[#All],[Cost Center]:[Client Type]],3,TRUE)</f>
        <v>Ora Zed Landscape Ph1</v>
      </c>
      <c r="J213" t="str">
        <f>VLOOKUP(G213,Table4[[#All],[Cost Center]:[Client Type]],5,TRUE)</f>
        <v>Osama Mezayn</v>
      </c>
    </row>
    <row r="214" spans="6:10" x14ac:dyDescent="0.25">
      <c r="F214" t="s">
        <v>349</v>
      </c>
      <c r="G214" s="7" cm="1">
        <f t="array" ref="G214">INT(planned(F214))</f>
        <v>185</v>
      </c>
      <c r="H214">
        <f>VLOOKUP(G214,Table4[[#All],[Cost Center]:[Client Type]],2,TRUE)</f>
        <v>128</v>
      </c>
      <c r="I214" t="str">
        <f>VLOOKUP(G214,Table4[[#All],[Cost Center]:[Client Type]],3,TRUE)</f>
        <v>Ora Zed Landscape Ph1</v>
      </c>
      <c r="J214" t="str">
        <f>VLOOKUP(G214,Table4[[#All],[Cost Center]:[Client Type]],5,TRUE)</f>
        <v>Osama Mezayn</v>
      </c>
    </row>
    <row r="215" spans="6:10" x14ac:dyDescent="0.25">
      <c r="F215" t="s">
        <v>349</v>
      </c>
      <c r="G215" s="7" cm="1">
        <f t="array" ref="G215">INT(planned(F215))</f>
        <v>185</v>
      </c>
      <c r="H215">
        <f>VLOOKUP(G215,Table4[[#All],[Cost Center]:[Client Type]],2,TRUE)</f>
        <v>128</v>
      </c>
      <c r="I215" t="str">
        <f>VLOOKUP(G215,Table4[[#All],[Cost Center]:[Client Type]],3,TRUE)</f>
        <v>Ora Zed Landscape Ph1</v>
      </c>
      <c r="J215" t="str">
        <f>VLOOKUP(G215,Table4[[#All],[Cost Center]:[Client Type]],5,TRUE)</f>
        <v>Osama Mezayn</v>
      </c>
    </row>
    <row r="216" spans="6:10" x14ac:dyDescent="0.25">
      <c r="F216" t="s">
        <v>349</v>
      </c>
      <c r="G216" s="7" cm="1">
        <f t="array" ref="G216">INT(planned(F216))</f>
        <v>185</v>
      </c>
      <c r="H216">
        <f>VLOOKUP(G216,Table4[[#All],[Cost Center]:[Client Type]],2,TRUE)</f>
        <v>128</v>
      </c>
      <c r="I216" t="str">
        <f>VLOOKUP(G216,Table4[[#All],[Cost Center]:[Client Type]],3,TRUE)</f>
        <v>Ora Zed Landscape Ph1</v>
      </c>
      <c r="J216" t="str">
        <f>VLOOKUP(G216,Table4[[#All],[Cost Center]:[Client Type]],5,TRUE)</f>
        <v>Osama Mezayn</v>
      </c>
    </row>
    <row r="217" spans="6:10" x14ac:dyDescent="0.25">
      <c r="F217" t="s">
        <v>349</v>
      </c>
      <c r="G217" s="7" cm="1">
        <f t="array" ref="G217">INT(planned(F217))</f>
        <v>185</v>
      </c>
      <c r="H217">
        <f>VLOOKUP(G217,Table4[[#All],[Cost Center]:[Client Type]],2,TRUE)</f>
        <v>128</v>
      </c>
      <c r="I217" t="str">
        <f>VLOOKUP(G217,Table4[[#All],[Cost Center]:[Client Type]],3,TRUE)</f>
        <v>Ora Zed Landscape Ph1</v>
      </c>
      <c r="J217" t="str">
        <f>VLOOKUP(G217,Table4[[#All],[Cost Center]:[Client Type]],5,TRUE)</f>
        <v>Osama Mezayn</v>
      </c>
    </row>
    <row r="218" spans="6:10" x14ac:dyDescent="0.25">
      <c r="F218" t="s">
        <v>349</v>
      </c>
      <c r="G218" s="7" cm="1">
        <f t="array" ref="G218">INT(planned(F218))</f>
        <v>185</v>
      </c>
      <c r="H218">
        <f>VLOOKUP(G218,Table4[[#All],[Cost Center]:[Client Type]],2,TRUE)</f>
        <v>128</v>
      </c>
      <c r="I218" t="str">
        <f>VLOOKUP(G218,Table4[[#All],[Cost Center]:[Client Type]],3,TRUE)</f>
        <v>Ora Zed Landscape Ph1</v>
      </c>
      <c r="J218" t="str">
        <f>VLOOKUP(G218,Table4[[#All],[Cost Center]:[Client Type]],5,TRUE)</f>
        <v>Osama Mezayn</v>
      </c>
    </row>
    <row r="219" spans="6:10" x14ac:dyDescent="0.25">
      <c r="F219" t="s">
        <v>349</v>
      </c>
      <c r="G219" s="7" cm="1">
        <f t="array" ref="G219">INT(planned(F219))</f>
        <v>185</v>
      </c>
      <c r="H219">
        <f>VLOOKUP(G219,Table4[[#All],[Cost Center]:[Client Type]],2,TRUE)</f>
        <v>128</v>
      </c>
      <c r="I219" t="str">
        <f>VLOOKUP(G219,Table4[[#All],[Cost Center]:[Client Type]],3,TRUE)</f>
        <v>Ora Zed Landscape Ph1</v>
      </c>
      <c r="J219" t="str">
        <f>VLOOKUP(G219,Table4[[#All],[Cost Center]:[Client Type]],5,TRUE)</f>
        <v>Osama Mezayn</v>
      </c>
    </row>
    <row r="220" spans="6:10" x14ac:dyDescent="0.25">
      <c r="F220" t="s">
        <v>349</v>
      </c>
      <c r="G220" s="7" cm="1">
        <f t="array" ref="G220">INT(planned(F220))</f>
        <v>185</v>
      </c>
      <c r="H220">
        <f>VLOOKUP(G220,Table4[[#All],[Cost Center]:[Client Type]],2,TRUE)</f>
        <v>128</v>
      </c>
      <c r="I220" t="str">
        <f>VLOOKUP(G220,Table4[[#All],[Cost Center]:[Client Type]],3,TRUE)</f>
        <v>Ora Zed Landscape Ph1</v>
      </c>
      <c r="J220" t="str">
        <f>VLOOKUP(G220,Table4[[#All],[Cost Center]:[Client Type]],5,TRUE)</f>
        <v>Osama Mezayn</v>
      </c>
    </row>
    <row r="221" spans="6:10" x14ac:dyDescent="0.25">
      <c r="F221" t="s">
        <v>349</v>
      </c>
      <c r="G221" s="7" cm="1">
        <f t="array" ref="G221">INT(planned(F221))</f>
        <v>185</v>
      </c>
      <c r="H221">
        <f>VLOOKUP(G221,Table4[[#All],[Cost Center]:[Client Type]],2,TRUE)</f>
        <v>128</v>
      </c>
      <c r="I221" t="str">
        <f>VLOOKUP(G221,Table4[[#All],[Cost Center]:[Client Type]],3,TRUE)</f>
        <v>Ora Zed Landscape Ph1</v>
      </c>
      <c r="J221" t="str">
        <f>VLOOKUP(G221,Table4[[#All],[Cost Center]:[Client Type]],5,TRUE)</f>
        <v>Osama Mezayn</v>
      </c>
    </row>
    <row r="222" spans="6:10" x14ac:dyDescent="0.25">
      <c r="F222" t="s">
        <v>349</v>
      </c>
      <c r="G222" s="7" cm="1">
        <f t="array" ref="G222">INT(planned(F222))</f>
        <v>185</v>
      </c>
      <c r="H222">
        <f>VLOOKUP(G222,Table4[[#All],[Cost Center]:[Client Type]],2,TRUE)</f>
        <v>128</v>
      </c>
      <c r="I222" t="str">
        <f>VLOOKUP(G222,Table4[[#All],[Cost Center]:[Client Type]],3,TRUE)</f>
        <v>Ora Zed Landscape Ph1</v>
      </c>
      <c r="J222" t="str">
        <f>VLOOKUP(G222,Table4[[#All],[Cost Center]:[Client Type]],5,TRUE)</f>
        <v>Osama Mezayn</v>
      </c>
    </row>
    <row r="223" spans="6:10" x14ac:dyDescent="0.25">
      <c r="F223" t="s">
        <v>349</v>
      </c>
      <c r="G223" s="7" cm="1">
        <f t="array" ref="G223">INT(planned(F223))</f>
        <v>185</v>
      </c>
      <c r="H223">
        <f>VLOOKUP(G223,Table4[[#All],[Cost Center]:[Client Type]],2,TRUE)</f>
        <v>128</v>
      </c>
      <c r="I223" t="str">
        <f>VLOOKUP(G223,Table4[[#All],[Cost Center]:[Client Type]],3,TRUE)</f>
        <v>Ora Zed Landscape Ph1</v>
      </c>
      <c r="J223" t="str">
        <f>VLOOKUP(G223,Table4[[#All],[Cost Center]:[Client Type]],5,TRUE)</f>
        <v>Osama Mezayn</v>
      </c>
    </row>
    <row r="224" spans="6:10" x14ac:dyDescent="0.25">
      <c r="F224" t="s">
        <v>349</v>
      </c>
      <c r="G224" s="7" cm="1">
        <f t="array" ref="G224">INT(planned(F224))</f>
        <v>185</v>
      </c>
      <c r="H224">
        <f>VLOOKUP(G224,Table4[[#All],[Cost Center]:[Client Type]],2,TRUE)</f>
        <v>128</v>
      </c>
      <c r="I224" t="str">
        <f>VLOOKUP(G224,Table4[[#All],[Cost Center]:[Client Type]],3,TRUE)</f>
        <v>Ora Zed Landscape Ph1</v>
      </c>
      <c r="J224" t="str">
        <f>VLOOKUP(G224,Table4[[#All],[Cost Center]:[Client Type]],5,TRUE)</f>
        <v>Osama Mezayn</v>
      </c>
    </row>
    <row r="225" spans="6:10" x14ac:dyDescent="0.25">
      <c r="F225" t="s">
        <v>349</v>
      </c>
      <c r="G225" s="7" cm="1">
        <f t="array" ref="G225">INT(planned(F225))</f>
        <v>185</v>
      </c>
      <c r="H225">
        <f>VLOOKUP(G225,Table4[[#All],[Cost Center]:[Client Type]],2,TRUE)</f>
        <v>128</v>
      </c>
      <c r="I225" t="str">
        <f>VLOOKUP(G225,Table4[[#All],[Cost Center]:[Client Type]],3,TRUE)</f>
        <v>Ora Zed Landscape Ph1</v>
      </c>
      <c r="J225" t="str">
        <f>VLOOKUP(G225,Table4[[#All],[Cost Center]:[Client Type]],5,TRUE)</f>
        <v>Osama Mezayn</v>
      </c>
    </row>
    <row r="226" spans="6:10" x14ac:dyDescent="0.25">
      <c r="F226" t="s">
        <v>349</v>
      </c>
      <c r="G226" s="7" cm="1">
        <f t="array" ref="G226">INT(planned(F226))</f>
        <v>185</v>
      </c>
      <c r="H226">
        <f>VLOOKUP(G226,Table4[[#All],[Cost Center]:[Client Type]],2,TRUE)</f>
        <v>128</v>
      </c>
      <c r="I226" t="str">
        <f>VLOOKUP(G226,Table4[[#All],[Cost Center]:[Client Type]],3,TRUE)</f>
        <v>Ora Zed Landscape Ph1</v>
      </c>
      <c r="J226" t="str">
        <f>VLOOKUP(G226,Table4[[#All],[Cost Center]:[Client Type]],5,TRUE)</f>
        <v>Osama Mezayn</v>
      </c>
    </row>
    <row r="227" spans="6:10" x14ac:dyDescent="0.25">
      <c r="F227" t="s">
        <v>349</v>
      </c>
      <c r="G227" s="7" cm="1">
        <f t="array" ref="G227">INT(planned(F227))</f>
        <v>185</v>
      </c>
      <c r="H227">
        <f>VLOOKUP(G227,Table4[[#All],[Cost Center]:[Client Type]],2,TRUE)</f>
        <v>128</v>
      </c>
      <c r="I227" t="str">
        <f>VLOOKUP(G227,Table4[[#All],[Cost Center]:[Client Type]],3,TRUE)</f>
        <v>Ora Zed Landscape Ph1</v>
      </c>
      <c r="J227" t="str">
        <f>VLOOKUP(G227,Table4[[#All],[Cost Center]:[Client Type]],5,TRUE)</f>
        <v>Osama Mezayn</v>
      </c>
    </row>
    <row r="228" spans="6:10" x14ac:dyDescent="0.25">
      <c r="F228" t="s">
        <v>105</v>
      </c>
      <c r="G228" s="7" cm="1">
        <f t="array" ref="G228">INT(planned(F228))</f>
        <v>170</v>
      </c>
      <c r="H228">
        <f>VLOOKUP(G228,Table4[[#All],[Cost Center]:[Client Type]],2,TRUE)</f>
        <v>113</v>
      </c>
      <c r="I228" t="str">
        <f>VLOOKUP(G228,Table4[[#All],[Cost Center]:[Client Type]],3,TRUE)</f>
        <v>Mivida BP#189</v>
      </c>
      <c r="J228" t="str">
        <f>VLOOKUP(G228,Table4[[#All],[Cost Center]:[Client Type]],5,TRUE)</f>
        <v>Osama Mezayn</v>
      </c>
    </row>
    <row r="229" spans="6:10" x14ac:dyDescent="0.25">
      <c r="F229" t="s">
        <v>105</v>
      </c>
      <c r="G229" s="7" cm="1">
        <f t="array" ref="G229">INT(planned(F229))</f>
        <v>170</v>
      </c>
      <c r="H229">
        <f>VLOOKUP(G229,Table4[[#All],[Cost Center]:[Client Type]],2,TRUE)</f>
        <v>113</v>
      </c>
      <c r="I229" t="str">
        <f>VLOOKUP(G229,Table4[[#All],[Cost Center]:[Client Type]],3,TRUE)</f>
        <v>Mivida BP#189</v>
      </c>
      <c r="J229" t="str">
        <f>VLOOKUP(G229,Table4[[#All],[Cost Center]:[Client Type]],5,TRUE)</f>
        <v>Osama Mezayn</v>
      </c>
    </row>
    <row r="230" spans="6:10" x14ac:dyDescent="0.25">
      <c r="F230" t="s">
        <v>105</v>
      </c>
      <c r="G230" s="7" cm="1">
        <f t="array" ref="G230">INT(planned(F230))</f>
        <v>170</v>
      </c>
      <c r="H230">
        <f>VLOOKUP(G230,Table4[[#All],[Cost Center]:[Client Type]],2,TRUE)</f>
        <v>113</v>
      </c>
      <c r="I230" t="str">
        <f>VLOOKUP(G230,Table4[[#All],[Cost Center]:[Client Type]],3,TRUE)</f>
        <v>Mivida BP#189</v>
      </c>
      <c r="J230" t="str">
        <f>VLOOKUP(G230,Table4[[#All],[Cost Center]:[Client Type]],5,TRUE)</f>
        <v>Osama Mezayn</v>
      </c>
    </row>
    <row r="231" spans="6:10" x14ac:dyDescent="0.25">
      <c r="F231" t="s">
        <v>105</v>
      </c>
      <c r="G231" s="7" cm="1">
        <f t="array" ref="G231">INT(planned(F231))</f>
        <v>170</v>
      </c>
      <c r="H231">
        <f>VLOOKUP(G231,Table4[[#All],[Cost Center]:[Client Type]],2,TRUE)</f>
        <v>113</v>
      </c>
      <c r="I231" t="str">
        <f>VLOOKUP(G231,Table4[[#All],[Cost Center]:[Client Type]],3,TRUE)</f>
        <v>Mivida BP#189</v>
      </c>
      <c r="J231" t="str">
        <f>VLOOKUP(G231,Table4[[#All],[Cost Center]:[Client Type]],5,TRUE)</f>
        <v>Osama Mezayn</v>
      </c>
    </row>
    <row r="232" spans="6:10" x14ac:dyDescent="0.25">
      <c r="F232" t="s">
        <v>105</v>
      </c>
      <c r="G232" s="7" cm="1">
        <f t="array" ref="G232">INT(planned(F232))</f>
        <v>170</v>
      </c>
      <c r="H232">
        <f>VLOOKUP(G232,Table4[[#All],[Cost Center]:[Client Type]],2,TRUE)</f>
        <v>113</v>
      </c>
      <c r="I232" t="str">
        <f>VLOOKUP(G232,Table4[[#All],[Cost Center]:[Client Type]],3,TRUE)</f>
        <v>Mivida BP#189</v>
      </c>
      <c r="J232" t="str">
        <f>VLOOKUP(G232,Table4[[#All],[Cost Center]:[Client Type]],5,TRUE)</f>
        <v>Osama Mezayn</v>
      </c>
    </row>
    <row r="233" spans="6:10" x14ac:dyDescent="0.25">
      <c r="F233" t="s">
        <v>105</v>
      </c>
      <c r="G233" s="7" cm="1">
        <f t="array" ref="G233">INT(planned(F233))</f>
        <v>170</v>
      </c>
      <c r="H233">
        <f>VLOOKUP(G233,Table4[[#All],[Cost Center]:[Client Type]],2,TRUE)</f>
        <v>113</v>
      </c>
      <c r="I233" t="str">
        <f>VLOOKUP(G233,Table4[[#All],[Cost Center]:[Client Type]],3,TRUE)</f>
        <v>Mivida BP#189</v>
      </c>
      <c r="J233" t="str">
        <f>VLOOKUP(G233,Table4[[#All],[Cost Center]:[Client Type]],5,TRUE)</f>
        <v>Osama Mezayn</v>
      </c>
    </row>
    <row r="234" spans="6:10" x14ac:dyDescent="0.25">
      <c r="F234" t="s">
        <v>105</v>
      </c>
      <c r="G234" s="7" cm="1">
        <f t="array" ref="G234">INT(planned(F234))</f>
        <v>170</v>
      </c>
      <c r="H234">
        <f>VLOOKUP(G234,Table4[[#All],[Cost Center]:[Client Type]],2,TRUE)</f>
        <v>113</v>
      </c>
      <c r="I234" t="str">
        <f>VLOOKUP(G234,Table4[[#All],[Cost Center]:[Client Type]],3,TRUE)</f>
        <v>Mivida BP#189</v>
      </c>
      <c r="J234" t="str">
        <f>VLOOKUP(G234,Table4[[#All],[Cost Center]:[Client Type]],5,TRUE)</f>
        <v>Osama Mezayn</v>
      </c>
    </row>
    <row r="235" spans="6:10" x14ac:dyDescent="0.25">
      <c r="F235" t="s">
        <v>105</v>
      </c>
      <c r="G235" s="7" cm="1">
        <f t="array" ref="G235">INT(planned(F235))</f>
        <v>170</v>
      </c>
      <c r="H235">
        <f>VLOOKUP(G235,Table4[[#All],[Cost Center]:[Client Type]],2,TRUE)</f>
        <v>113</v>
      </c>
      <c r="I235" t="str">
        <f>VLOOKUP(G235,Table4[[#All],[Cost Center]:[Client Type]],3,TRUE)</f>
        <v>Mivida BP#189</v>
      </c>
      <c r="J235" t="str">
        <f>VLOOKUP(G235,Table4[[#All],[Cost Center]:[Client Type]],5,TRUE)</f>
        <v>Osama Mezayn</v>
      </c>
    </row>
    <row r="236" spans="6:10" x14ac:dyDescent="0.25">
      <c r="F236" t="s">
        <v>105</v>
      </c>
      <c r="G236" s="7" cm="1">
        <f t="array" ref="G236">INT(planned(F236))</f>
        <v>170</v>
      </c>
      <c r="H236">
        <f>VLOOKUP(G236,Table4[[#All],[Cost Center]:[Client Type]],2,TRUE)</f>
        <v>113</v>
      </c>
      <c r="I236" t="str">
        <f>VLOOKUP(G236,Table4[[#All],[Cost Center]:[Client Type]],3,TRUE)</f>
        <v>Mivida BP#189</v>
      </c>
      <c r="J236" t="str">
        <f>VLOOKUP(G236,Table4[[#All],[Cost Center]:[Client Type]],5,TRUE)</f>
        <v>Osama Mezayn</v>
      </c>
    </row>
    <row r="237" spans="6:10" x14ac:dyDescent="0.25">
      <c r="F237" t="s">
        <v>105</v>
      </c>
      <c r="G237" s="7" cm="1">
        <f t="array" ref="G237">INT(planned(F237))</f>
        <v>170</v>
      </c>
      <c r="H237">
        <f>VLOOKUP(G237,Table4[[#All],[Cost Center]:[Client Type]],2,TRUE)</f>
        <v>113</v>
      </c>
      <c r="I237" t="str">
        <f>VLOOKUP(G237,Table4[[#All],[Cost Center]:[Client Type]],3,TRUE)</f>
        <v>Mivida BP#189</v>
      </c>
      <c r="J237" t="str">
        <f>VLOOKUP(G237,Table4[[#All],[Cost Center]:[Client Type]],5,TRUE)</f>
        <v>Osama Mezayn</v>
      </c>
    </row>
    <row r="238" spans="6:10" x14ac:dyDescent="0.25">
      <c r="F238" t="s">
        <v>105</v>
      </c>
      <c r="G238" s="7" cm="1">
        <f t="array" ref="G238">INT(planned(F238))</f>
        <v>170</v>
      </c>
      <c r="H238">
        <f>VLOOKUP(G238,Table4[[#All],[Cost Center]:[Client Type]],2,TRUE)</f>
        <v>113</v>
      </c>
      <c r="I238" t="str">
        <f>VLOOKUP(G238,Table4[[#All],[Cost Center]:[Client Type]],3,TRUE)</f>
        <v>Mivida BP#189</v>
      </c>
      <c r="J238" t="str">
        <f>VLOOKUP(G238,Table4[[#All],[Cost Center]:[Client Type]],5,TRUE)</f>
        <v>Osama Mezayn</v>
      </c>
    </row>
    <row r="239" spans="6:10" x14ac:dyDescent="0.25">
      <c r="F239" t="s">
        <v>105</v>
      </c>
      <c r="G239" s="7" cm="1">
        <f t="array" ref="G239">INT(planned(F239))</f>
        <v>170</v>
      </c>
      <c r="H239">
        <f>VLOOKUP(G239,Table4[[#All],[Cost Center]:[Client Type]],2,TRUE)</f>
        <v>113</v>
      </c>
      <c r="I239" t="str">
        <f>VLOOKUP(G239,Table4[[#All],[Cost Center]:[Client Type]],3,TRUE)</f>
        <v>Mivida BP#189</v>
      </c>
      <c r="J239" t="str">
        <f>VLOOKUP(G239,Table4[[#All],[Cost Center]:[Client Type]],5,TRUE)</f>
        <v>Osama Mezayn</v>
      </c>
    </row>
    <row r="240" spans="6:10" x14ac:dyDescent="0.25">
      <c r="F240" t="s">
        <v>105</v>
      </c>
      <c r="G240" s="7" cm="1">
        <f t="array" ref="G240">INT(planned(F240))</f>
        <v>170</v>
      </c>
      <c r="H240">
        <f>VLOOKUP(G240,Table4[[#All],[Cost Center]:[Client Type]],2,TRUE)</f>
        <v>113</v>
      </c>
      <c r="I240" t="str">
        <f>VLOOKUP(G240,Table4[[#All],[Cost Center]:[Client Type]],3,TRUE)</f>
        <v>Mivida BP#189</v>
      </c>
      <c r="J240" t="str">
        <f>VLOOKUP(G240,Table4[[#All],[Cost Center]:[Client Type]],5,TRUE)</f>
        <v>Osama Mezayn</v>
      </c>
    </row>
    <row r="241" spans="6:10" x14ac:dyDescent="0.25">
      <c r="F241" t="s">
        <v>105</v>
      </c>
      <c r="G241" s="7" cm="1">
        <f t="array" ref="G241">INT(planned(F241))</f>
        <v>170</v>
      </c>
      <c r="H241">
        <f>VLOOKUP(G241,Table4[[#All],[Cost Center]:[Client Type]],2,TRUE)</f>
        <v>113</v>
      </c>
      <c r="I241" t="str">
        <f>VLOOKUP(G241,Table4[[#All],[Cost Center]:[Client Type]],3,TRUE)</f>
        <v>Mivida BP#189</v>
      </c>
      <c r="J241" t="str">
        <f>VLOOKUP(G241,Table4[[#All],[Cost Center]:[Client Type]],5,TRUE)</f>
        <v>Osama Mezayn</v>
      </c>
    </row>
    <row r="242" spans="6:10" x14ac:dyDescent="0.25">
      <c r="F242" t="s">
        <v>105</v>
      </c>
      <c r="G242" s="7" cm="1">
        <f t="array" ref="G242">INT(planned(F242))</f>
        <v>170</v>
      </c>
      <c r="H242">
        <f>VLOOKUP(G242,Table4[[#All],[Cost Center]:[Client Type]],2,TRUE)</f>
        <v>113</v>
      </c>
      <c r="I242" t="str">
        <f>VLOOKUP(G242,Table4[[#All],[Cost Center]:[Client Type]],3,TRUE)</f>
        <v>Mivida BP#189</v>
      </c>
      <c r="J242" t="str">
        <f>VLOOKUP(G242,Table4[[#All],[Cost Center]:[Client Type]],5,TRUE)</f>
        <v>Osama Mezayn</v>
      </c>
    </row>
    <row r="243" spans="6:10" x14ac:dyDescent="0.25">
      <c r="F243" t="s">
        <v>105</v>
      </c>
      <c r="G243" s="7" cm="1">
        <f t="array" ref="G243">INT(planned(F243))</f>
        <v>170</v>
      </c>
      <c r="H243">
        <f>VLOOKUP(G243,Table4[[#All],[Cost Center]:[Client Type]],2,TRUE)</f>
        <v>113</v>
      </c>
      <c r="I243" t="str">
        <f>VLOOKUP(G243,Table4[[#All],[Cost Center]:[Client Type]],3,TRUE)</f>
        <v>Mivida BP#189</v>
      </c>
      <c r="J243" t="str">
        <f>VLOOKUP(G243,Table4[[#All],[Cost Center]:[Client Type]],5,TRUE)</f>
        <v>Osama Mezayn</v>
      </c>
    </row>
    <row r="244" spans="6:10" x14ac:dyDescent="0.25">
      <c r="F244" t="s">
        <v>105</v>
      </c>
      <c r="G244" s="7" cm="1">
        <f t="array" ref="G244">INT(planned(F244))</f>
        <v>170</v>
      </c>
      <c r="H244">
        <f>VLOOKUP(G244,Table4[[#All],[Cost Center]:[Client Type]],2,TRUE)</f>
        <v>113</v>
      </c>
      <c r="I244" t="str">
        <f>VLOOKUP(G244,Table4[[#All],[Cost Center]:[Client Type]],3,TRUE)</f>
        <v>Mivida BP#189</v>
      </c>
      <c r="J244" t="str">
        <f>VLOOKUP(G244,Table4[[#All],[Cost Center]:[Client Type]],5,TRUE)</f>
        <v>Osama Mezayn</v>
      </c>
    </row>
    <row r="245" spans="6:10" x14ac:dyDescent="0.25">
      <c r="F245" t="s">
        <v>105</v>
      </c>
      <c r="G245" s="7" cm="1">
        <f t="array" ref="G245">INT(planned(F245))</f>
        <v>170</v>
      </c>
      <c r="H245">
        <f>VLOOKUP(G245,Table4[[#All],[Cost Center]:[Client Type]],2,TRUE)</f>
        <v>113</v>
      </c>
      <c r="I245" t="str">
        <f>VLOOKUP(G245,Table4[[#All],[Cost Center]:[Client Type]],3,TRUE)</f>
        <v>Mivida BP#189</v>
      </c>
      <c r="J245" t="str">
        <f>VLOOKUP(G245,Table4[[#All],[Cost Center]:[Client Type]],5,TRUE)</f>
        <v>Osama Mezayn</v>
      </c>
    </row>
    <row r="246" spans="6:10" x14ac:dyDescent="0.25">
      <c r="F246" t="s">
        <v>105</v>
      </c>
      <c r="G246" s="7" cm="1">
        <f t="array" ref="G246">INT(planned(F246))</f>
        <v>170</v>
      </c>
      <c r="H246">
        <f>VLOOKUP(G246,Table4[[#All],[Cost Center]:[Client Type]],2,TRUE)</f>
        <v>113</v>
      </c>
      <c r="I246" t="str">
        <f>VLOOKUP(G246,Table4[[#All],[Cost Center]:[Client Type]],3,TRUE)</f>
        <v>Mivida BP#189</v>
      </c>
      <c r="J246" t="str">
        <f>VLOOKUP(G246,Table4[[#All],[Cost Center]:[Client Type]],5,TRUE)</f>
        <v>Osama Mezayn</v>
      </c>
    </row>
    <row r="247" spans="6:10" x14ac:dyDescent="0.25">
      <c r="F247" t="s">
        <v>105</v>
      </c>
      <c r="G247" s="7" cm="1">
        <f t="array" ref="G247">INT(planned(F247))</f>
        <v>170</v>
      </c>
      <c r="H247">
        <f>VLOOKUP(G247,Table4[[#All],[Cost Center]:[Client Type]],2,TRUE)</f>
        <v>113</v>
      </c>
      <c r="I247" t="str">
        <f>VLOOKUP(G247,Table4[[#All],[Cost Center]:[Client Type]],3,TRUE)</f>
        <v>Mivida BP#189</v>
      </c>
      <c r="J247" t="str">
        <f>VLOOKUP(G247,Table4[[#All],[Cost Center]:[Client Type]],5,TRUE)</f>
        <v>Osama Mezayn</v>
      </c>
    </row>
    <row r="248" spans="6:10" x14ac:dyDescent="0.25">
      <c r="F248" t="s">
        <v>105</v>
      </c>
      <c r="G248" s="7" cm="1">
        <f t="array" ref="G248">INT(planned(F248))</f>
        <v>170</v>
      </c>
      <c r="H248">
        <f>VLOOKUP(G248,Table4[[#All],[Cost Center]:[Client Type]],2,TRUE)</f>
        <v>113</v>
      </c>
      <c r="I248" t="str">
        <f>VLOOKUP(G248,Table4[[#All],[Cost Center]:[Client Type]],3,TRUE)</f>
        <v>Mivida BP#189</v>
      </c>
      <c r="J248" t="str">
        <f>VLOOKUP(G248,Table4[[#All],[Cost Center]:[Client Type]],5,TRUE)</f>
        <v>Osama Mezayn</v>
      </c>
    </row>
    <row r="249" spans="6:10" x14ac:dyDescent="0.25">
      <c r="F249" t="s">
        <v>105</v>
      </c>
      <c r="G249" s="7" cm="1">
        <f t="array" ref="G249">INT(planned(F249))</f>
        <v>170</v>
      </c>
      <c r="H249">
        <f>VLOOKUP(G249,Table4[[#All],[Cost Center]:[Client Type]],2,TRUE)</f>
        <v>113</v>
      </c>
      <c r="I249" t="str">
        <f>VLOOKUP(G249,Table4[[#All],[Cost Center]:[Client Type]],3,TRUE)</f>
        <v>Mivida BP#189</v>
      </c>
      <c r="J249" t="str">
        <f>VLOOKUP(G249,Table4[[#All],[Cost Center]:[Client Type]],5,TRUE)</f>
        <v>Osama Mezayn</v>
      </c>
    </row>
    <row r="250" spans="6:10" x14ac:dyDescent="0.25">
      <c r="F250" t="s">
        <v>105</v>
      </c>
      <c r="G250" s="7" cm="1">
        <f t="array" ref="G250">INT(planned(F250))</f>
        <v>170</v>
      </c>
      <c r="H250">
        <f>VLOOKUP(G250,Table4[[#All],[Cost Center]:[Client Type]],2,TRUE)</f>
        <v>113</v>
      </c>
      <c r="I250" t="str">
        <f>VLOOKUP(G250,Table4[[#All],[Cost Center]:[Client Type]],3,TRUE)</f>
        <v>Mivida BP#189</v>
      </c>
      <c r="J250" t="str">
        <f>VLOOKUP(G250,Table4[[#All],[Cost Center]:[Client Type]],5,TRUE)</f>
        <v>Osama Mezayn</v>
      </c>
    </row>
    <row r="251" spans="6:10" x14ac:dyDescent="0.25">
      <c r="F251" t="s">
        <v>105</v>
      </c>
      <c r="G251" s="7" cm="1">
        <f t="array" ref="G251">INT(planned(F251))</f>
        <v>170</v>
      </c>
      <c r="H251">
        <f>VLOOKUP(G251,Table4[[#All],[Cost Center]:[Client Type]],2,TRUE)</f>
        <v>113</v>
      </c>
      <c r="I251" t="str">
        <f>VLOOKUP(G251,Table4[[#All],[Cost Center]:[Client Type]],3,TRUE)</f>
        <v>Mivida BP#189</v>
      </c>
      <c r="J251" t="str">
        <f>VLOOKUP(G251,Table4[[#All],[Cost Center]:[Client Type]],5,TRUE)</f>
        <v>Osama Mezayn</v>
      </c>
    </row>
    <row r="252" spans="6:10" x14ac:dyDescent="0.25">
      <c r="F252" t="s">
        <v>105</v>
      </c>
      <c r="G252" s="7" cm="1">
        <f t="array" ref="G252">INT(planned(F252))</f>
        <v>170</v>
      </c>
      <c r="H252">
        <f>VLOOKUP(G252,Table4[[#All],[Cost Center]:[Client Type]],2,TRUE)</f>
        <v>113</v>
      </c>
      <c r="I252" t="str">
        <f>VLOOKUP(G252,Table4[[#All],[Cost Center]:[Client Type]],3,TRUE)</f>
        <v>Mivida BP#189</v>
      </c>
      <c r="J252" t="str">
        <f>VLOOKUP(G252,Table4[[#All],[Cost Center]:[Client Type]],5,TRUE)</f>
        <v>Osama Mezayn</v>
      </c>
    </row>
    <row r="253" spans="6:10" x14ac:dyDescent="0.25">
      <c r="F253" t="s">
        <v>105</v>
      </c>
      <c r="G253" s="7" cm="1">
        <f t="array" ref="G253">INT(planned(F253))</f>
        <v>170</v>
      </c>
      <c r="H253">
        <f>VLOOKUP(G253,Table4[[#All],[Cost Center]:[Client Type]],2,TRUE)</f>
        <v>113</v>
      </c>
      <c r="I253" t="str">
        <f>VLOOKUP(G253,Table4[[#All],[Cost Center]:[Client Type]],3,TRUE)</f>
        <v>Mivida BP#189</v>
      </c>
      <c r="J253" t="str">
        <f>VLOOKUP(G253,Table4[[#All],[Cost Center]:[Client Type]],5,TRUE)</f>
        <v>Osama Mezayn</v>
      </c>
    </row>
    <row r="254" spans="6:10" x14ac:dyDescent="0.25">
      <c r="F254" t="s">
        <v>105</v>
      </c>
      <c r="G254" s="7" cm="1">
        <f t="array" ref="G254">INT(planned(F254))</f>
        <v>170</v>
      </c>
      <c r="H254">
        <f>VLOOKUP(G254,Table4[[#All],[Cost Center]:[Client Type]],2,TRUE)</f>
        <v>113</v>
      </c>
      <c r="I254" t="str">
        <f>VLOOKUP(G254,Table4[[#All],[Cost Center]:[Client Type]],3,TRUE)</f>
        <v>Mivida BP#189</v>
      </c>
      <c r="J254" t="str">
        <f>VLOOKUP(G254,Table4[[#All],[Cost Center]:[Client Type]],5,TRUE)</f>
        <v>Osama Mezayn</v>
      </c>
    </row>
    <row r="255" spans="6:10" x14ac:dyDescent="0.25">
      <c r="F255" t="s">
        <v>105</v>
      </c>
      <c r="G255" s="7" cm="1">
        <f t="array" ref="G255">INT(planned(F255))</f>
        <v>170</v>
      </c>
      <c r="H255">
        <f>VLOOKUP(G255,Table4[[#All],[Cost Center]:[Client Type]],2,TRUE)</f>
        <v>113</v>
      </c>
      <c r="I255" t="str">
        <f>VLOOKUP(G255,Table4[[#All],[Cost Center]:[Client Type]],3,TRUE)</f>
        <v>Mivida BP#189</v>
      </c>
      <c r="J255" t="str">
        <f>VLOOKUP(G255,Table4[[#All],[Cost Center]:[Client Type]],5,TRUE)</f>
        <v>Osama Mezayn</v>
      </c>
    </row>
    <row r="256" spans="6:10" x14ac:dyDescent="0.25">
      <c r="F256" t="s">
        <v>105</v>
      </c>
      <c r="G256" s="7" cm="1">
        <f t="array" ref="G256">INT(planned(F256))</f>
        <v>170</v>
      </c>
      <c r="H256">
        <f>VLOOKUP(G256,Table4[[#All],[Cost Center]:[Client Type]],2,TRUE)</f>
        <v>113</v>
      </c>
      <c r="I256" t="str">
        <f>VLOOKUP(G256,Table4[[#All],[Cost Center]:[Client Type]],3,TRUE)</f>
        <v>Mivida BP#189</v>
      </c>
      <c r="J256" t="str">
        <f>VLOOKUP(G256,Table4[[#All],[Cost Center]:[Client Type]],5,TRUE)</f>
        <v>Osama Mezayn</v>
      </c>
    </row>
    <row r="257" spans="6:10" x14ac:dyDescent="0.25">
      <c r="F257" t="s">
        <v>105</v>
      </c>
      <c r="G257" s="7" cm="1">
        <f t="array" ref="G257">INT(planned(F257))</f>
        <v>170</v>
      </c>
      <c r="H257">
        <f>VLOOKUP(G257,Table4[[#All],[Cost Center]:[Client Type]],2,TRUE)</f>
        <v>113</v>
      </c>
      <c r="I257" t="str">
        <f>VLOOKUP(G257,Table4[[#All],[Cost Center]:[Client Type]],3,TRUE)</f>
        <v>Mivida BP#189</v>
      </c>
      <c r="J257" t="str">
        <f>VLOOKUP(G257,Table4[[#All],[Cost Center]:[Client Type]],5,TRUE)</f>
        <v>Osama Mezayn</v>
      </c>
    </row>
    <row r="258" spans="6:10" x14ac:dyDescent="0.25">
      <c r="F258" t="s">
        <v>105</v>
      </c>
      <c r="G258" s="7" cm="1">
        <f t="array" ref="G258">INT(planned(F258))</f>
        <v>170</v>
      </c>
      <c r="H258">
        <f>VLOOKUP(G258,Table4[[#All],[Cost Center]:[Client Type]],2,TRUE)</f>
        <v>113</v>
      </c>
      <c r="I258" t="str">
        <f>VLOOKUP(G258,Table4[[#All],[Cost Center]:[Client Type]],3,TRUE)</f>
        <v>Mivida BP#189</v>
      </c>
      <c r="J258" t="str">
        <f>VLOOKUP(G258,Table4[[#All],[Cost Center]:[Client Type]],5,TRUE)</f>
        <v>Osama Mezayn</v>
      </c>
    </row>
    <row r="259" spans="6:10" x14ac:dyDescent="0.25">
      <c r="F259" t="s">
        <v>105</v>
      </c>
      <c r="G259" s="7" cm="1">
        <f t="array" ref="G259">INT(planned(F259))</f>
        <v>170</v>
      </c>
      <c r="H259">
        <f>VLOOKUP(G259,Table4[[#All],[Cost Center]:[Client Type]],2,TRUE)</f>
        <v>113</v>
      </c>
      <c r="I259" t="str">
        <f>VLOOKUP(G259,Table4[[#All],[Cost Center]:[Client Type]],3,TRUE)</f>
        <v>Mivida BP#189</v>
      </c>
      <c r="J259" t="str">
        <f>VLOOKUP(G259,Table4[[#All],[Cost Center]:[Client Type]],5,TRUE)</f>
        <v>Osama Mezayn</v>
      </c>
    </row>
    <row r="260" spans="6:10" x14ac:dyDescent="0.25">
      <c r="F260" t="s">
        <v>105</v>
      </c>
      <c r="G260" s="7" cm="1">
        <f t="array" ref="G260">INT(planned(F260))</f>
        <v>170</v>
      </c>
      <c r="H260">
        <f>VLOOKUP(G260,Table4[[#All],[Cost Center]:[Client Type]],2,TRUE)</f>
        <v>113</v>
      </c>
      <c r="I260" t="str">
        <f>VLOOKUP(G260,Table4[[#All],[Cost Center]:[Client Type]],3,TRUE)</f>
        <v>Mivida BP#189</v>
      </c>
      <c r="J260" t="str">
        <f>VLOOKUP(G260,Table4[[#All],[Cost Center]:[Client Type]],5,TRUE)</f>
        <v>Osama Mezayn</v>
      </c>
    </row>
    <row r="261" spans="6:10" x14ac:dyDescent="0.25">
      <c r="F261" t="s">
        <v>105</v>
      </c>
      <c r="G261" s="7" cm="1">
        <f t="array" ref="G261">INT(planned(F261))</f>
        <v>170</v>
      </c>
      <c r="H261">
        <f>VLOOKUP(G261,Table4[[#All],[Cost Center]:[Client Type]],2,TRUE)</f>
        <v>113</v>
      </c>
      <c r="I261" t="str">
        <f>VLOOKUP(G261,Table4[[#All],[Cost Center]:[Client Type]],3,TRUE)</f>
        <v>Mivida BP#189</v>
      </c>
      <c r="J261" t="str">
        <f>VLOOKUP(G261,Table4[[#All],[Cost Center]:[Client Type]],5,TRUE)</f>
        <v>Osama Mezayn</v>
      </c>
    </row>
    <row r="262" spans="6:10" x14ac:dyDescent="0.25">
      <c r="F262" t="s">
        <v>105</v>
      </c>
      <c r="G262" s="7" cm="1">
        <f t="array" ref="G262">INT(planned(F262))</f>
        <v>170</v>
      </c>
      <c r="H262">
        <f>VLOOKUP(G262,Table4[[#All],[Cost Center]:[Client Type]],2,TRUE)</f>
        <v>113</v>
      </c>
      <c r="I262" t="str">
        <f>VLOOKUP(G262,Table4[[#All],[Cost Center]:[Client Type]],3,TRUE)</f>
        <v>Mivida BP#189</v>
      </c>
      <c r="J262" t="str">
        <f>VLOOKUP(G262,Table4[[#All],[Cost Center]:[Client Type]],5,TRUE)</f>
        <v>Osama Mezayn</v>
      </c>
    </row>
    <row r="263" spans="6:10" x14ac:dyDescent="0.25">
      <c r="F263" t="s">
        <v>105</v>
      </c>
      <c r="G263" s="7" cm="1">
        <f t="array" ref="G263">INT(planned(F263))</f>
        <v>170</v>
      </c>
      <c r="H263">
        <f>VLOOKUP(G263,Table4[[#All],[Cost Center]:[Client Type]],2,TRUE)</f>
        <v>113</v>
      </c>
      <c r="I263" t="str">
        <f>VLOOKUP(G263,Table4[[#All],[Cost Center]:[Client Type]],3,TRUE)</f>
        <v>Mivida BP#189</v>
      </c>
      <c r="J263" t="str">
        <f>VLOOKUP(G263,Table4[[#All],[Cost Center]:[Client Type]],5,TRUE)</f>
        <v>Osama Mezayn</v>
      </c>
    </row>
    <row r="264" spans="6:10" x14ac:dyDescent="0.25">
      <c r="F264" t="s">
        <v>105</v>
      </c>
      <c r="G264" s="7" cm="1">
        <f t="array" ref="G264">INT(planned(F264))</f>
        <v>170</v>
      </c>
      <c r="H264">
        <f>VLOOKUP(G264,Table4[[#All],[Cost Center]:[Client Type]],2,TRUE)</f>
        <v>113</v>
      </c>
      <c r="I264" t="str">
        <f>VLOOKUP(G264,Table4[[#All],[Cost Center]:[Client Type]],3,TRUE)</f>
        <v>Mivida BP#189</v>
      </c>
      <c r="J264" t="str">
        <f>VLOOKUP(G264,Table4[[#All],[Cost Center]:[Client Type]],5,TRUE)</f>
        <v>Osama Mezayn</v>
      </c>
    </row>
    <row r="265" spans="6:10" x14ac:dyDescent="0.25">
      <c r="F265" t="s">
        <v>105</v>
      </c>
      <c r="G265" s="7" cm="1">
        <f t="array" ref="G265">INT(planned(F265))</f>
        <v>170</v>
      </c>
      <c r="H265">
        <f>VLOOKUP(G265,Table4[[#All],[Cost Center]:[Client Type]],2,TRUE)</f>
        <v>113</v>
      </c>
      <c r="I265" t="str">
        <f>VLOOKUP(G265,Table4[[#All],[Cost Center]:[Client Type]],3,TRUE)</f>
        <v>Mivida BP#189</v>
      </c>
      <c r="J265" t="str">
        <f>VLOOKUP(G265,Table4[[#All],[Cost Center]:[Client Type]],5,TRUE)</f>
        <v>Osama Mezayn</v>
      </c>
    </row>
    <row r="266" spans="6:10" x14ac:dyDescent="0.25">
      <c r="F266" t="s">
        <v>105</v>
      </c>
      <c r="G266" s="7" cm="1">
        <f t="array" ref="G266">INT(planned(F266))</f>
        <v>170</v>
      </c>
      <c r="H266">
        <f>VLOOKUP(G266,Table4[[#All],[Cost Center]:[Client Type]],2,TRUE)</f>
        <v>113</v>
      </c>
      <c r="I266" t="str">
        <f>VLOOKUP(G266,Table4[[#All],[Cost Center]:[Client Type]],3,TRUE)</f>
        <v>Mivida BP#189</v>
      </c>
      <c r="J266" t="str">
        <f>VLOOKUP(G266,Table4[[#All],[Cost Center]:[Client Type]],5,TRUE)</f>
        <v>Osama Mezayn</v>
      </c>
    </row>
    <row r="267" spans="6:10" x14ac:dyDescent="0.25">
      <c r="F267" t="s">
        <v>105</v>
      </c>
      <c r="G267" s="7" cm="1">
        <f t="array" ref="G267">INT(planned(F267))</f>
        <v>170</v>
      </c>
      <c r="H267">
        <f>VLOOKUP(G267,Table4[[#All],[Cost Center]:[Client Type]],2,TRUE)</f>
        <v>113</v>
      </c>
      <c r="I267" t="str">
        <f>VLOOKUP(G267,Table4[[#All],[Cost Center]:[Client Type]],3,TRUE)</f>
        <v>Mivida BP#189</v>
      </c>
      <c r="J267" t="str">
        <f>VLOOKUP(G267,Table4[[#All],[Cost Center]:[Client Type]],5,TRUE)</f>
        <v>Osama Mezayn</v>
      </c>
    </row>
    <row r="268" spans="6:10" x14ac:dyDescent="0.25">
      <c r="F268" t="s">
        <v>105</v>
      </c>
      <c r="G268" s="7" cm="1">
        <f t="array" ref="G268">INT(planned(F268))</f>
        <v>170</v>
      </c>
      <c r="H268">
        <f>VLOOKUP(G268,Table4[[#All],[Cost Center]:[Client Type]],2,TRUE)</f>
        <v>113</v>
      </c>
      <c r="I268" t="str">
        <f>VLOOKUP(G268,Table4[[#All],[Cost Center]:[Client Type]],3,TRUE)</f>
        <v>Mivida BP#189</v>
      </c>
      <c r="J268" t="str">
        <f>VLOOKUP(G268,Table4[[#All],[Cost Center]:[Client Type]],5,TRUE)</f>
        <v>Osama Mezayn</v>
      </c>
    </row>
    <row r="269" spans="6:10" x14ac:dyDescent="0.25">
      <c r="F269" t="s">
        <v>105</v>
      </c>
      <c r="G269" s="7" cm="1">
        <f t="array" ref="G269">INT(planned(F269))</f>
        <v>170</v>
      </c>
      <c r="H269">
        <f>VLOOKUP(G269,Table4[[#All],[Cost Center]:[Client Type]],2,TRUE)</f>
        <v>113</v>
      </c>
      <c r="I269" t="str">
        <f>VLOOKUP(G269,Table4[[#All],[Cost Center]:[Client Type]],3,TRUE)</f>
        <v>Mivida BP#189</v>
      </c>
      <c r="J269" t="str">
        <f>VLOOKUP(G269,Table4[[#All],[Cost Center]:[Client Type]],5,TRUE)</f>
        <v>Osama Mezayn</v>
      </c>
    </row>
    <row r="270" spans="6:10" x14ac:dyDescent="0.25">
      <c r="F270" t="s">
        <v>105</v>
      </c>
      <c r="G270" s="7" cm="1">
        <f t="array" ref="G270">INT(planned(F270))</f>
        <v>170</v>
      </c>
      <c r="H270">
        <f>VLOOKUP(G270,Table4[[#All],[Cost Center]:[Client Type]],2,TRUE)</f>
        <v>113</v>
      </c>
      <c r="I270" t="str">
        <f>VLOOKUP(G270,Table4[[#All],[Cost Center]:[Client Type]],3,TRUE)</f>
        <v>Mivida BP#189</v>
      </c>
      <c r="J270" t="str">
        <f>VLOOKUP(G270,Table4[[#All],[Cost Center]:[Client Type]],5,TRUE)</f>
        <v>Osama Mezayn</v>
      </c>
    </row>
    <row r="271" spans="6:10" x14ac:dyDescent="0.25">
      <c r="F271" t="s">
        <v>105</v>
      </c>
      <c r="G271" s="7" cm="1">
        <f t="array" ref="G271">INT(planned(F271))</f>
        <v>170</v>
      </c>
      <c r="H271">
        <f>VLOOKUP(G271,Table4[[#All],[Cost Center]:[Client Type]],2,TRUE)</f>
        <v>113</v>
      </c>
      <c r="I271" t="str">
        <f>VLOOKUP(G271,Table4[[#All],[Cost Center]:[Client Type]],3,TRUE)</f>
        <v>Mivida BP#189</v>
      </c>
      <c r="J271" t="str">
        <f>VLOOKUP(G271,Table4[[#All],[Cost Center]:[Client Type]],5,TRUE)</f>
        <v>Osama Mezayn</v>
      </c>
    </row>
    <row r="272" spans="6:10" x14ac:dyDescent="0.25">
      <c r="F272" t="s">
        <v>105</v>
      </c>
      <c r="G272" s="7" cm="1">
        <f t="array" ref="G272">INT(planned(F272))</f>
        <v>170</v>
      </c>
      <c r="H272">
        <f>VLOOKUP(G272,Table4[[#All],[Cost Center]:[Client Type]],2,TRUE)</f>
        <v>113</v>
      </c>
      <c r="I272" t="str">
        <f>VLOOKUP(G272,Table4[[#All],[Cost Center]:[Client Type]],3,TRUE)</f>
        <v>Mivida BP#189</v>
      </c>
      <c r="J272" t="str">
        <f>VLOOKUP(G272,Table4[[#All],[Cost Center]:[Client Type]],5,TRUE)</f>
        <v>Osama Mezayn</v>
      </c>
    </row>
    <row r="273" spans="6:10" x14ac:dyDescent="0.25">
      <c r="F273" t="s">
        <v>105</v>
      </c>
      <c r="G273" s="7" cm="1">
        <f t="array" ref="G273">INT(planned(F273))</f>
        <v>170</v>
      </c>
      <c r="H273">
        <f>VLOOKUP(G273,Table4[[#All],[Cost Center]:[Client Type]],2,TRUE)</f>
        <v>113</v>
      </c>
      <c r="I273" t="str">
        <f>VLOOKUP(G273,Table4[[#All],[Cost Center]:[Client Type]],3,TRUE)</f>
        <v>Mivida BP#189</v>
      </c>
      <c r="J273" t="str">
        <f>VLOOKUP(G273,Table4[[#All],[Cost Center]:[Client Type]],5,TRUE)</f>
        <v>Osama Mezayn</v>
      </c>
    </row>
    <row r="274" spans="6:10" x14ac:dyDescent="0.25">
      <c r="F274" t="s">
        <v>105</v>
      </c>
      <c r="G274" s="7" cm="1">
        <f t="array" ref="G274">INT(planned(F274))</f>
        <v>170</v>
      </c>
      <c r="H274">
        <f>VLOOKUP(G274,Table4[[#All],[Cost Center]:[Client Type]],2,TRUE)</f>
        <v>113</v>
      </c>
      <c r="I274" t="str">
        <f>VLOOKUP(G274,Table4[[#All],[Cost Center]:[Client Type]],3,TRUE)</f>
        <v>Mivida BP#189</v>
      </c>
      <c r="J274" t="str">
        <f>VLOOKUP(G274,Table4[[#All],[Cost Center]:[Client Type]],5,TRUE)</f>
        <v>Osama Mezayn</v>
      </c>
    </row>
    <row r="275" spans="6:10" x14ac:dyDescent="0.25">
      <c r="F275" t="s">
        <v>105</v>
      </c>
      <c r="G275" s="7" cm="1">
        <f t="array" ref="G275">INT(planned(F275))</f>
        <v>170</v>
      </c>
      <c r="H275">
        <f>VLOOKUP(G275,Table4[[#All],[Cost Center]:[Client Type]],2,TRUE)</f>
        <v>113</v>
      </c>
      <c r="I275" t="str">
        <f>VLOOKUP(G275,Table4[[#All],[Cost Center]:[Client Type]],3,TRUE)</f>
        <v>Mivida BP#189</v>
      </c>
      <c r="J275" t="str">
        <f>VLOOKUP(G275,Table4[[#All],[Cost Center]:[Client Type]],5,TRUE)</f>
        <v>Osama Mezayn</v>
      </c>
    </row>
    <row r="276" spans="6:10" x14ac:dyDescent="0.25">
      <c r="F276" t="s">
        <v>105</v>
      </c>
      <c r="G276" s="7" cm="1">
        <f t="array" ref="G276">INT(planned(F276))</f>
        <v>170</v>
      </c>
      <c r="H276">
        <f>VLOOKUP(G276,Table4[[#All],[Cost Center]:[Client Type]],2,TRUE)</f>
        <v>113</v>
      </c>
      <c r="I276" t="str">
        <f>VLOOKUP(G276,Table4[[#All],[Cost Center]:[Client Type]],3,TRUE)</f>
        <v>Mivida BP#189</v>
      </c>
      <c r="J276" t="str">
        <f>VLOOKUP(G276,Table4[[#All],[Cost Center]:[Client Type]],5,TRUE)</f>
        <v>Osama Mezayn</v>
      </c>
    </row>
    <row r="277" spans="6:10" x14ac:dyDescent="0.25">
      <c r="F277" t="s">
        <v>105</v>
      </c>
      <c r="G277" s="7" cm="1">
        <f t="array" ref="G277">INT(planned(F277))</f>
        <v>170</v>
      </c>
      <c r="H277">
        <f>VLOOKUP(G277,Table4[[#All],[Cost Center]:[Client Type]],2,TRUE)</f>
        <v>113</v>
      </c>
      <c r="I277" t="str">
        <f>VLOOKUP(G277,Table4[[#All],[Cost Center]:[Client Type]],3,TRUE)</f>
        <v>Mivida BP#189</v>
      </c>
      <c r="J277" t="str">
        <f>VLOOKUP(G277,Table4[[#All],[Cost Center]:[Client Type]],5,TRUE)</f>
        <v>Osama Mezayn</v>
      </c>
    </row>
    <row r="278" spans="6:10" x14ac:dyDescent="0.25">
      <c r="F278" t="s">
        <v>105</v>
      </c>
      <c r="G278" s="7" cm="1">
        <f t="array" ref="G278">INT(planned(F278))</f>
        <v>170</v>
      </c>
      <c r="H278">
        <f>VLOOKUP(G278,Table4[[#All],[Cost Center]:[Client Type]],2,TRUE)</f>
        <v>113</v>
      </c>
      <c r="I278" t="str">
        <f>VLOOKUP(G278,Table4[[#All],[Cost Center]:[Client Type]],3,TRUE)</f>
        <v>Mivida BP#189</v>
      </c>
      <c r="J278" t="str">
        <f>VLOOKUP(G278,Table4[[#All],[Cost Center]:[Client Type]],5,TRUE)</f>
        <v>Osama Mezayn</v>
      </c>
    </row>
    <row r="279" spans="6:10" x14ac:dyDescent="0.25">
      <c r="F279" t="s">
        <v>105</v>
      </c>
      <c r="G279" s="7" cm="1">
        <f t="array" ref="G279">INT(planned(F279))</f>
        <v>170</v>
      </c>
      <c r="H279">
        <f>VLOOKUP(G279,Table4[[#All],[Cost Center]:[Client Type]],2,TRUE)</f>
        <v>113</v>
      </c>
      <c r="I279" t="str">
        <f>VLOOKUP(G279,Table4[[#All],[Cost Center]:[Client Type]],3,TRUE)</f>
        <v>Mivida BP#189</v>
      </c>
      <c r="J279" t="str">
        <f>VLOOKUP(G279,Table4[[#All],[Cost Center]:[Client Type]],5,TRUE)</f>
        <v>Osama Mezayn</v>
      </c>
    </row>
    <row r="280" spans="6:10" x14ac:dyDescent="0.25">
      <c r="F280" t="s">
        <v>105</v>
      </c>
      <c r="G280" s="7" cm="1">
        <f t="array" ref="G280">INT(planned(F280))</f>
        <v>170</v>
      </c>
      <c r="H280">
        <f>VLOOKUP(G280,Table4[[#All],[Cost Center]:[Client Type]],2,TRUE)</f>
        <v>113</v>
      </c>
      <c r="I280" t="str">
        <f>VLOOKUP(G280,Table4[[#All],[Cost Center]:[Client Type]],3,TRUE)</f>
        <v>Mivida BP#189</v>
      </c>
      <c r="J280" t="str">
        <f>VLOOKUP(G280,Table4[[#All],[Cost Center]:[Client Type]],5,TRUE)</f>
        <v>Osama Mezayn</v>
      </c>
    </row>
    <row r="281" spans="6:10" x14ac:dyDescent="0.25">
      <c r="F281" t="s">
        <v>105</v>
      </c>
      <c r="G281" s="7" cm="1">
        <f t="array" ref="G281">INT(planned(F281))</f>
        <v>170</v>
      </c>
      <c r="H281">
        <f>VLOOKUP(G281,Table4[[#All],[Cost Center]:[Client Type]],2,TRUE)</f>
        <v>113</v>
      </c>
      <c r="I281" t="str">
        <f>VLOOKUP(G281,Table4[[#All],[Cost Center]:[Client Type]],3,TRUE)</f>
        <v>Mivida BP#189</v>
      </c>
      <c r="J281" t="str">
        <f>VLOOKUP(G281,Table4[[#All],[Cost Center]:[Client Type]],5,TRUE)</f>
        <v>Osama Mezayn</v>
      </c>
    </row>
    <row r="282" spans="6:10" x14ac:dyDescent="0.25">
      <c r="F282" t="s">
        <v>105</v>
      </c>
      <c r="G282" s="7" cm="1">
        <f t="array" ref="G282">INT(planned(F282))</f>
        <v>170</v>
      </c>
      <c r="H282">
        <f>VLOOKUP(G282,Table4[[#All],[Cost Center]:[Client Type]],2,TRUE)</f>
        <v>113</v>
      </c>
      <c r="I282" t="str">
        <f>VLOOKUP(G282,Table4[[#All],[Cost Center]:[Client Type]],3,TRUE)</f>
        <v>Mivida BP#189</v>
      </c>
      <c r="J282" t="str">
        <f>VLOOKUP(G282,Table4[[#All],[Cost Center]:[Client Type]],5,TRUE)</f>
        <v>Osama Mezayn</v>
      </c>
    </row>
    <row r="283" spans="6:10" x14ac:dyDescent="0.25">
      <c r="F283" t="s">
        <v>105</v>
      </c>
      <c r="G283" s="7" cm="1">
        <f t="array" ref="G283">INT(planned(F283))</f>
        <v>170</v>
      </c>
      <c r="H283">
        <f>VLOOKUP(G283,Table4[[#All],[Cost Center]:[Client Type]],2,TRUE)</f>
        <v>113</v>
      </c>
      <c r="I283" t="str">
        <f>VLOOKUP(G283,Table4[[#All],[Cost Center]:[Client Type]],3,TRUE)</f>
        <v>Mivida BP#189</v>
      </c>
      <c r="J283" t="str">
        <f>VLOOKUP(G283,Table4[[#All],[Cost Center]:[Client Type]],5,TRUE)</f>
        <v>Osama Mezayn</v>
      </c>
    </row>
    <row r="284" spans="6:10" x14ac:dyDescent="0.25">
      <c r="F284" t="s">
        <v>105</v>
      </c>
      <c r="G284" s="7" cm="1">
        <f t="array" ref="G284">INT(planned(F284))</f>
        <v>170</v>
      </c>
      <c r="H284">
        <f>VLOOKUP(G284,Table4[[#All],[Cost Center]:[Client Type]],2,TRUE)</f>
        <v>113</v>
      </c>
      <c r="I284" t="str">
        <f>VLOOKUP(G284,Table4[[#All],[Cost Center]:[Client Type]],3,TRUE)</f>
        <v>Mivida BP#189</v>
      </c>
      <c r="J284" t="str">
        <f>VLOOKUP(G284,Table4[[#All],[Cost Center]:[Client Type]],5,TRUE)</f>
        <v>Osama Mezayn</v>
      </c>
    </row>
    <row r="285" spans="6:10" x14ac:dyDescent="0.25">
      <c r="F285" t="s">
        <v>105</v>
      </c>
      <c r="G285" s="7" cm="1">
        <f t="array" ref="G285">INT(planned(F285))</f>
        <v>170</v>
      </c>
      <c r="H285">
        <f>VLOOKUP(G285,Table4[[#All],[Cost Center]:[Client Type]],2,TRUE)</f>
        <v>113</v>
      </c>
      <c r="I285" t="str">
        <f>VLOOKUP(G285,Table4[[#All],[Cost Center]:[Client Type]],3,TRUE)</f>
        <v>Mivida BP#189</v>
      </c>
      <c r="J285" t="str">
        <f>VLOOKUP(G285,Table4[[#All],[Cost Center]:[Client Type]],5,TRUE)</f>
        <v>Osama Mezayn</v>
      </c>
    </row>
    <row r="286" spans="6:10" x14ac:dyDescent="0.25">
      <c r="F286" t="s">
        <v>105</v>
      </c>
      <c r="G286" s="7" cm="1">
        <f t="array" ref="G286">INT(planned(F286))</f>
        <v>170</v>
      </c>
      <c r="H286">
        <f>VLOOKUP(G286,Table4[[#All],[Cost Center]:[Client Type]],2,TRUE)</f>
        <v>113</v>
      </c>
      <c r="I286" t="str">
        <f>VLOOKUP(G286,Table4[[#All],[Cost Center]:[Client Type]],3,TRUE)</f>
        <v>Mivida BP#189</v>
      </c>
      <c r="J286" t="str">
        <f>VLOOKUP(G286,Table4[[#All],[Cost Center]:[Client Type]],5,TRUE)</f>
        <v>Osama Mezayn</v>
      </c>
    </row>
    <row r="287" spans="6:10" x14ac:dyDescent="0.25">
      <c r="F287" t="s">
        <v>105</v>
      </c>
      <c r="G287" s="7" cm="1">
        <f t="array" ref="G287">INT(planned(F287))</f>
        <v>170</v>
      </c>
      <c r="H287">
        <f>VLOOKUP(G287,Table4[[#All],[Cost Center]:[Client Type]],2,TRUE)</f>
        <v>113</v>
      </c>
      <c r="I287" t="str">
        <f>VLOOKUP(G287,Table4[[#All],[Cost Center]:[Client Type]],3,TRUE)</f>
        <v>Mivida BP#189</v>
      </c>
      <c r="J287" t="str">
        <f>VLOOKUP(G287,Table4[[#All],[Cost Center]:[Client Type]],5,TRUE)</f>
        <v>Osama Mezayn</v>
      </c>
    </row>
    <row r="288" spans="6:10" x14ac:dyDescent="0.25">
      <c r="F288" t="s">
        <v>105</v>
      </c>
      <c r="G288" s="7" cm="1">
        <f t="array" ref="G288">INT(planned(F288))</f>
        <v>170</v>
      </c>
      <c r="H288">
        <f>VLOOKUP(G288,Table4[[#All],[Cost Center]:[Client Type]],2,TRUE)</f>
        <v>113</v>
      </c>
      <c r="I288" t="str">
        <f>VLOOKUP(G288,Table4[[#All],[Cost Center]:[Client Type]],3,TRUE)</f>
        <v>Mivida BP#189</v>
      </c>
      <c r="J288" t="str">
        <f>VLOOKUP(G288,Table4[[#All],[Cost Center]:[Client Type]],5,TRUE)</f>
        <v>Osama Mezayn</v>
      </c>
    </row>
    <row r="289" spans="6:10" x14ac:dyDescent="0.25">
      <c r="F289" t="s">
        <v>105</v>
      </c>
      <c r="G289" s="7" cm="1">
        <f t="array" ref="G289">INT(planned(F289))</f>
        <v>170</v>
      </c>
      <c r="H289">
        <f>VLOOKUP(G289,Table4[[#All],[Cost Center]:[Client Type]],2,TRUE)</f>
        <v>113</v>
      </c>
      <c r="I289" t="str">
        <f>VLOOKUP(G289,Table4[[#All],[Cost Center]:[Client Type]],3,TRUE)</f>
        <v>Mivida BP#189</v>
      </c>
      <c r="J289" t="str">
        <f>VLOOKUP(G289,Table4[[#All],[Cost Center]:[Client Type]],5,TRUE)</f>
        <v>Osama Mezayn</v>
      </c>
    </row>
    <row r="290" spans="6:10" x14ac:dyDescent="0.25">
      <c r="F290" t="s">
        <v>105</v>
      </c>
      <c r="G290" s="7" cm="1">
        <f t="array" ref="G290">INT(planned(F290))</f>
        <v>170</v>
      </c>
      <c r="H290">
        <f>VLOOKUP(G290,Table4[[#All],[Cost Center]:[Client Type]],2,TRUE)</f>
        <v>113</v>
      </c>
      <c r="I290" t="str">
        <f>VLOOKUP(G290,Table4[[#All],[Cost Center]:[Client Type]],3,TRUE)</f>
        <v>Mivida BP#189</v>
      </c>
      <c r="J290" t="str">
        <f>VLOOKUP(G290,Table4[[#All],[Cost Center]:[Client Type]],5,TRUE)</f>
        <v>Osama Mezayn</v>
      </c>
    </row>
    <row r="291" spans="6:10" x14ac:dyDescent="0.25">
      <c r="F291" t="s">
        <v>105</v>
      </c>
      <c r="G291" s="7" cm="1">
        <f t="array" ref="G291">INT(planned(F291))</f>
        <v>170</v>
      </c>
      <c r="H291">
        <f>VLOOKUP(G291,Table4[[#All],[Cost Center]:[Client Type]],2,TRUE)</f>
        <v>113</v>
      </c>
      <c r="I291" t="str">
        <f>VLOOKUP(G291,Table4[[#All],[Cost Center]:[Client Type]],3,TRUE)</f>
        <v>Mivida BP#189</v>
      </c>
      <c r="J291" t="str">
        <f>VLOOKUP(G291,Table4[[#All],[Cost Center]:[Client Type]],5,TRUE)</f>
        <v>Osama Mezayn</v>
      </c>
    </row>
    <row r="292" spans="6:10" x14ac:dyDescent="0.25">
      <c r="F292" t="s">
        <v>105</v>
      </c>
      <c r="G292" s="7" cm="1">
        <f t="array" ref="G292">INT(planned(F292))</f>
        <v>170</v>
      </c>
      <c r="H292">
        <f>VLOOKUP(G292,Table4[[#All],[Cost Center]:[Client Type]],2,TRUE)</f>
        <v>113</v>
      </c>
      <c r="I292" t="str">
        <f>VLOOKUP(G292,Table4[[#All],[Cost Center]:[Client Type]],3,TRUE)</f>
        <v>Mivida BP#189</v>
      </c>
      <c r="J292" t="str">
        <f>VLOOKUP(G292,Table4[[#All],[Cost Center]:[Client Type]],5,TRUE)</f>
        <v>Osama Mezayn</v>
      </c>
    </row>
    <row r="293" spans="6:10" x14ac:dyDescent="0.25">
      <c r="F293" t="s">
        <v>105</v>
      </c>
      <c r="G293" s="7" cm="1">
        <f t="array" ref="G293">INT(planned(F293))</f>
        <v>170</v>
      </c>
      <c r="H293">
        <f>VLOOKUP(G293,Table4[[#All],[Cost Center]:[Client Type]],2,TRUE)</f>
        <v>113</v>
      </c>
      <c r="I293" t="str">
        <f>VLOOKUP(G293,Table4[[#All],[Cost Center]:[Client Type]],3,TRUE)</f>
        <v>Mivida BP#189</v>
      </c>
      <c r="J293" t="str">
        <f>VLOOKUP(G293,Table4[[#All],[Cost Center]:[Client Type]],5,TRUE)</f>
        <v>Osama Mezayn</v>
      </c>
    </row>
    <row r="294" spans="6:10" x14ac:dyDescent="0.25">
      <c r="F294" t="s">
        <v>105</v>
      </c>
      <c r="G294" s="7" cm="1">
        <f t="array" ref="G294">INT(planned(F294))</f>
        <v>170</v>
      </c>
      <c r="H294">
        <f>VLOOKUP(G294,Table4[[#All],[Cost Center]:[Client Type]],2,TRUE)</f>
        <v>113</v>
      </c>
      <c r="I294" t="str">
        <f>VLOOKUP(G294,Table4[[#All],[Cost Center]:[Client Type]],3,TRUE)</f>
        <v>Mivida BP#189</v>
      </c>
      <c r="J294" t="str">
        <f>VLOOKUP(G294,Table4[[#All],[Cost Center]:[Client Type]],5,TRUE)</f>
        <v>Osama Mezayn</v>
      </c>
    </row>
    <row r="295" spans="6:10" x14ac:dyDescent="0.25">
      <c r="F295" t="s">
        <v>105</v>
      </c>
      <c r="G295" s="7" cm="1">
        <f t="array" ref="G295">INT(planned(F295))</f>
        <v>170</v>
      </c>
      <c r="H295">
        <f>VLOOKUP(G295,Table4[[#All],[Cost Center]:[Client Type]],2,TRUE)</f>
        <v>113</v>
      </c>
      <c r="I295" t="str">
        <f>VLOOKUP(G295,Table4[[#All],[Cost Center]:[Client Type]],3,TRUE)</f>
        <v>Mivida BP#189</v>
      </c>
      <c r="J295" t="str">
        <f>VLOOKUP(G295,Table4[[#All],[Cost Center]:[Client Type]],5,TRUE)</f>
        <v>Osama Mezayn</v>
      </c>
    </row>
    <row r="296" spans="6:10" x14ac:dyDescent="0.25">
      <c r="F296" t="s">
        <v>105</v>
      </c>
      <c r="G296" s="7" cm="1">
        <f t="array" ref="G296">INT(planned(F296))</f>
        <v>170</v>
      </c>
      <c r="H296">
        <f>VLOOKUP(G296,Table4[[#All],[Cost Center]:[Client Type]],2,TRUE)</f>
        <v>113</v>
      </c>
      <c r="I296" t="str">
        <f>VLOOKUP(G296,Table4[[#All],[Cost Center]:[Client Type]],3,TRUE)</f>
        <v>Mivida BP#189</v>
      </c>
      <c r="J296" t="str">
        <f>VLOOKUP(G296,Table4[[#All],[Cost Center]:[Client Type]],5,TRUE)</f>
        <v>Osama Mezayn</v>
      </c>
    </row>
    <row r="297" spans="6:10" x14ac:dyDescent="0.25">
      <c r="F297" t="s">
        <v>105</v>
      </c>
      <c r="G297" s="7" cm="1">
        <f t="array" ref="G297">INT(planned(F297))</f>
        <v>170</v>
      </c>
      <c r="H297">
        <f>VLOOKUP(G297,Table4[[#All],[Cost Center]:[Client Type]],2,TRUE)</f>
        <v>113</v>
      </c>
      <c r="I297" t="str">
        <f>VLOOKUP(G297,Table4[[#All],[Cost Center]:[Client Type]],3,TRUE)</f>
        <v>Mivida BP#189</v>
      </c>
      <c r="J297" t="str">
        <f>VLOOKUP(G297,Table4[[#All],[Cost Center]:[Client Type]],5,TRUE)</f>
        <v>Osama Mezayn</v>
      </c>
    </row>
    <row r="298" spans="6:10" x14ac:dyDescent="0.25">
      <c r="F298" t="s">
        <v>105</v>
      </c>
      <c r="G298" s="7" cm="1">
        <f t="array" ref="G298">INT(planned(F298))</f>
        <v>170</v>
      </c>
      <c r="H298">
        <f>VLOOKUP(G298,Table4[[#All],[Cost Center]:[Client Type]],2,TRUE)</f>
        <v>113</v>
      </c>
      <c r="I298" t="str">
        <f>VLOOKUP(G298,Table4[[#All],[Cost Center]:[Client Type]],3,TRUE)</f>
        <v>Mivida BP#189</v>
      </c>
      <c r="J298" t="str">
        <f>VLOOKUP(G298,Table4[[#All],[Cost Center]:[Client Type]],5,TRUE)</f>
        <v>Osama Mezayn</v>
      </c>
    </row>
    <row r="299" spans="6:10" x14ac:dyDescent="0.25">
      <c r="F299" t="s">
        <v>105</v>
      </c>
      <c r="G299" s="7" cm="1">
        <f t="array" ref="G299">INT(planned(F299))</f>
        <v>170</v>
      </c>
      <c r="H299">
        <f>VLOOKUP(G299,Table4[[#All],[Cost Center]:[Client Type]],2,TRUE)</f>
        <v>113</v>
      </c>
      <c r="I299" t="str">
        <f>VLOOKUP(G299,Table4[[#All],[Cost Center]:[Client Type]],3,TRUE)</f>
        <v>Mivida BP#189</v>
      </c>
      <c r="J299" t="str">
        <f>VLOOKUP(G299,Table4[[#All],[Cost Center]:[Client Type]],5,TRUE)</f>
        <v>Osama Mezayn</v>
      </c>
    </row>
    <row r="300" spans="6:10" x14ac:dyDescent="0.25">
      <c r="F300" t="s">
        <v>105</v>
      </c>
      <c r="G300" s="7" cm="1">
        <f t="array" ref="G300">INT(planned(F300))</f>
        <v>170</v>
      </c>
      <c r="H300">
        <f>VLOOKUP(G300,Table4[[#All],[Cost Center]:[Client Type]],2,TRUE)</f>
        <v>113</v>
      </c>
      <c r="I300" t="str">
        <f>VLOOKUP(G300,Table4[[#All],[Cost Center]:[Client Type]],3,TRUE)</f>
        <v>Mivida BP#189</v>
      </c>
      <c r="J300" t="str">
        <f>VLOOKUP(G300,Table4[[#All],[Cost Center]:[Client Type]],5,TRUE)</f>
        <v>Osama Mezayn</v>
      </c>
    </row>
    <row r="301" spans="6:10" x14ac:dyDescent="0.25">
      <c r="F301" t="s">
        <v>105</v>
      </c>
      <c r="G301" s="7" cm="1">
        <f t="array" ref="G301">INT(planned(F301))</f>
        <v>170</v>
      </c>
      <c r="H301">
        <f>VLOOKUP(G301,Table4[[#All],[Cost Center]:[Client Type]],2,TRUE)</f>
        <v>113</v>
      </c>
      <c r="I301" t="str">
        <f>VLOOKUP(G301,Table4[[#All],[Cost Center]:[Client Type]],3,TRUE)</f>
        <v>Mivida BP#189</v>
      </c>
      <c r="J301" t="str">
        <f>VLOOKUP(G301,Table4[[#All],[Cost Center]:[Client Type]],5,TRUE)</f>
        <v>Osama Mezayn</v>
      </c>
    </row>
    <row r="302" spans="6:10" x14ac:dyDescent="0.25">
      <c r="F302" t="s">
        <v>105</v>
      </c>
      <c r="G302" s="7" cm="1">
        <f t="array" ref="G302">INT(planned(F302))</f>
        <v>170</v>
      </c>
      <c r="H302">
        <f>VLOOKUP(G302,Table4[[#All],[Cost Center]:[Client Type]],2,TRUE)</f>
        <v>113</v>
      </c>
      <c r="I302" t="str">
        <f>VLOOKUP(G302,Table4[[#All],[Cost Center]:[Client Type]],3,TRUE)</f>
        <v>Mivida BP#189</v>
      </c>
      <c r="J302" t="str">
        <f>VLOOKUP(G302,Table4[[#All],[Cost Center]:[Client Type]],5,TRUE)</f>
        <v>Osama Mezayn</v>
      </c>
    </row>
    <row r="303" spans="6:10" x14ac:dyDescent="0.25">
      <c r="F303" t="s">
        <v>105</v>
      </c>
      <c r="G303" s="7" cm="1">
        <f t="array" ref="G303">INT(planned(F303))</f>
        <v>170</v>
      </c>
      <c r="H303">
        <f>VLOOKUP(G303,Table4[[#All],[Cost Center]:[Client Type]],2,TRUE)</f>
        <v>113</v>
      </c>
      <c r="I303" t="str">
        <f>VLOOKUP(G303,Table4[[#All],[Cost Center]:[Client Type]],3,TRUE)</f>
        <v>Mivida BP#189</v>
      </c>
      <c r="J303" t="str">
        <f>VLOOKUP(G303,Table4[[#All],[Cost Center]:[Client Type]],5,TRUE)</f>
        <v>Osama Mezayn</v>
      </c>
    </row>
    <row r="304" spans="6:10" x14ac:dyDescent="0.25">
      <c r="F304" t="s">
        <v>105</v>
      </c>
      <c r="G304" s="7" cm="1">
        <f t="array" ref="G304">INT(planned(F304))</f>
        <v>170</v>
      </c>
      <c r="H304">
        <f>VLOOKUP(G304,Table4[[#All],[Cost Center]:[Client Type]],2,TRUE)</f>
        <v>113</v>
      </c>
      <c r="I304" t="str">
        <f>VLOOKUP(G304,Table4[[#All],[Cost Center]:[Client Type]],3,TRUE)</f>
        <v>Mivida BP#189</v>
      </c>
      <c r="J304" t="str">
        <f>VLOOKUP(G304,Table4[[#All],[Cost Center]:[Client Type]],5,TRUE)</f>
        <v>Osama Mezayn</v>
      </c>
    </row>
    <row r="305" spans="6:10" x14ac:dyDescent="0.25">
      <c r="F305" t="s">
        <v>105</v>
      </c>
      <c r="G305" s="7" cm="1">
        <f t="array" ref="G305">INT(planned(F305))</f>
        <v>170</v>
      </c>
      <c r="H305">
        <f>VLOOKUP(G305,Table4[[#All],[Cost Center]:[Client Type]],2,TRUE)</f>
        <v>113</v>
      </c>
      <c r="I305" t="str">
        <f>VLOOKUP(G305,Table4[[#All],[Cost Center]:[Client Type]],3,TRUE)</f>
        <v>Mivida BP#189</v>
      </c>
      <c r="J305" t="str">
        <f>VLOOKUP(G305,Table4[[#All],[Cost Center]:[Client Type]],5,TRUE)</f>
        <v>Osama Mezayn</v>
      </c>
    </row>
    <row r="306" spans="6:10" x14ac:dyDescent="0.25">
      <c r="F306" t="s">
        <v>105</v>
      </c>
      <c r="G306" s="7" cm="1">
        <f t="array" ref="G306">INT(planned(F306))</f>
        <v>170</v>
      </c>
      <c r="H306">
        <f>VLOOKUP(G306,Table4[[#All],[Cost Center]:[Client Type]],2,TRUE)</f>
        <v>113</v>
      </c>
      <c r="I306" t="str">
        <f>VLOOKUP(G306,Table4[[#All],[Cost Center]:[Client Type]],3,TRUE)</f>
        <v>Mivida BP#189</v>
      </c>
      <c r="J306" t="str">
        <f>VLOOKUP(G306,Table4[[#All],[Cost Center]:[Client Type]],5,TRUE)</f>
        <v>Osama Mezayn</v>
      </c>
    </row>
    <row r="307" spans="6:10" x14ac:dyDescent="0.25">
      <c r="F307" t="s">
        <v>105</v>
      </c>
      <c r="G307" s="7" cm="1">
        <f t="array" ref="G307">INT(planned(F307))</f>
        <v>170</v>
      </c>
      <c r="H307">
        <f>VLOOKUP(G307,Table4[[#All],[Cost Center]:[Client Type]],2,TRUE)</f>
        <v>113</v>
      </c>
      <c r="I307" t="str">
        <f>VLOOKUP(G307,Table4[[#All],[Cost Center]:[Client Type]],3,TRUE)</f>
        <v>Mivida BP#189</v>
      </c>
      <c r="J307" t="str">
        <f>VLOOKUP(G307,Table4[[#All],[Cost Center]:[Client Type]],5,TRUE)</f>
        <v>Osama Mezayn</v>
      </c>
    </row>
    <row r="308" spans="6:10" x14ac:dyDescent="0.25">
      <c r="F308" t="s">
        <v>105</v>
      </c>
      <c r="G308" s="7" cm="1">
        <f t="array" ref="G308">INT(planned(F308))</f>
        <v>170</v>
      </c>
      <c r="H308">
        <f>VLOOKUP(G308,Table4[[#All],[Cost Center]:[Client Type]],2,TRUE)</f>
        <v>113</v>
      </c>
      <c r="I308" t="str">
        <f>VLOOKUP(G308,Table4[[#All],[Cost Center]:[Client Type]],3,TRUE)</f>
        <v>Mivida BP#189</v>
      </c>
      <c r="J308" t="str">
        <f>VLOOKUP(G308,Table4[[#All],[Cost Center]:[Client Type]],5,TRUE)</f>
        <v>Osama Mezayn</v>
      </c>
    </row>
    <row r="309" spans="6:10" x14ac:dyDescent="0.25">
      <c r="F309" t="s">
        <v>105</v>
      </c>
      <c r="G309" s="7" cm="1">
        <f t="array" ref="G309">INT(planned(F309))</f>
        <v>170</v>
      </c>
      <c r="H309">
        <f>VLOOKUP(G309,Table4[[#All],[Cost Center]:[Client Type]],2,TRUE)</f>
        <v>113</v>
      </c>
      <c r="I309" t="str">
        <f>VLOOKUP(G309,Table4[[#All],[Cost Center]:[Client Type]],3,TRUE)</f>
        <v>Mivida BP#189</v>
      </c>
      <c r="J309" t="str">
        <f>VLOOKUP(G309,Table4[[#All],[Cost Center]:[Client Type]],5,TRUE)</f>
        <v>Osama Mezayn</v>
      </c>
    </row>
    <row r="310" spans="6:10" x14ac:dyDescent="0.25">
      <c r="F310" t="s">
        <v>105</v>
      </c>
      <c r="G310" s="7" cm="1">
        <f t="array" ref="G310">INT(planned(F310))</f>
        <v>170</v>
      </c>
      <c r="H310">
        <f>VLOOKUP(G310,Table4[[#All],[Cost Center]:[Client Type]],2,TRUE)</f>
        <v>113</v>
      </c>
      <c r="I310" t="str">
        <f>VLOOKUP(G310,Table4[[#All],[Cost Center]:[Client Type]],3,TRUE)</f>
        <v>Mivida BP#189</v>
      </c>
      <c r="J310" t="str">
        <f>VLOOKUP(G310,Table4[[#All],[Cost Center]:[Client Type]],5,TRUE)</f>
        <v>Osama Mezayn</v>
      </c>
    </row>
    <row r="311" spans="6:10" x14ac:dyDescent="0.25">
      <c r="F311" t="s">
        <v>105</v>
      </c>
      <c r="G311" s="7" cm="1">
        <f t="array" ref="G311">INT(planned(F311))</f>
        <v>170</v>
      </c>
      <c r="H311">
        <f>VLOOKUP(G311,Table4[[#All],[Cost Center]:[Client Type]],2,TRUE)</f>
        <v>113</v>
      </c>
      <c r="I311" t="str">
        <f>VLOOKUP(G311,Table4[[#All],[Cost Center]:[Client Type]],3,TRUE)</f>
        <v>Mivida BP#189</v>
      </c>
      <c r="J311" t="str">
        <f>VLOOKUP(G311,Table4[[#All],[Cost Center]:[Client Type]],5,TRUE)</f>
        <v>Osama Mezayn</v>
      </c>
    </row>
    <row r="312" spans="6:10" x14ac:dyDescent="0.25">
      <c r="F312" t="s">
        <v>105</v>
      </c>
      <c r="G312" s="7" cm="1">
        <f t="array" ref="G312">INT(planned(F312))</f>
        <v>170</v>
      </c>
      <c r="H312">
        <f>VLOOKUP(G312,Table4[[#All],[Cost Center]:[Client Type]],2,TRUE)</f>
        <v>113</v>
      </c>
      <c r="I312" t="str">
        <f>VLOOKUP(G312,Table4[[#All],[Cost Center]:[Client Type]],3,TRUE)</f>
        <v>Mivida BP#189</v>
      </c>
      <c r="J312" t="str">
        <f>VLOOKUP(G312,Table4[[#All],[Cost Center]:[Client Type]],5,TRUE)</f>
        <v>Osama Mezayn</v>
      </c>
    </row>
    <row r="313" spans="6:10" x14ac:dyDescent="0.25">
      <c r="F313" t="s">
        <v>105</v>
      </c>
      <c r="G313" s="7" cm="1">
        <f t="array" ref="G313">INT(planned(F313))</f>
        <v>170</v>
      </c>
      <c r="H313">
        <f>VLOOKUP(G313,Table4[[#All],[Cost Center]:[Client Type]],2,TRUE)</f>
        <v>113</v>
      </c>
      <c r="I313" t="str">
        <f>VLOOKUP(G313,Table4[[#All],[Cost Center]:[Client Type]],3,TRUE)</f>
        <v>Mivida BP#189</v>
      </c>
      <c r="J313" t="str">
        <f>VLOOKUP(G313,Table4[[#All],[Cost Center]:[Client Type]],5,TRUE)</f>
        <v>Osama Mezayn</v>
      </c>
    </row>
    <row r="314" spans="6:10" x14ac:dyDescent="0.25">
      <c r="F314" t="s">
        <v>105</v>
      </c>
      <c r="G314" s="7" cm="1">
        <f t="array" ref="G314">INT(planned(F314))</f>
        <v>170</v>
      </c>
      <c r="H314">
        <f>VLOOKUP(G314,Table4[[#All],[Cost Center]:[Client Type]],2,TRUE)</f>
        <v>113</v>
      </c>
      <c r="I314" t="str">
        <f>VLOOKUP(G314,Table4[[#All],[Cost Center]:[Client Type]],3,TRUE)</f>
        <v>Mivida BP#189</v>
      </c>
      <c r="J314" t="str">
        <f>VLOOKUP(G314,Table4[[#All],[Cost Center]:[Client Type]],5,TRUE)</f>
        <v>Osama Mezayn</v>
      </c>
    </row>
    <row r="315" spans="6:10" x14ac:dyDescent="0.25">
      <c r="F315" t="s">
        <v>105</v>
      </c>
      <c r="G315" s="7" cm="1">
        <f t="array" ref="G315">INT(planned(F315))</f>
        <v>170</v>
      </c>
      <c r="H315">
        <f>VLOOKUP(G315,Table4[[#All],[Cost Center]:[Client Type]],2,TRUE)</f>
        <v>113</v>
      </c>
      <c r="I315" t="str">
        <f>VLOOKUP(G315,Table4[[#All],[Cost Center]:[Client Type]],3,TRUE)</f>
        <v>Mivida BP#189</v>
      </c>
      <c r="J315" t="str">
        <f>VLOOKUP(G315,Table4[[#All],[Cost Center]:[Client Type]],5,TRUE)</f>
        <v>Osama Mezayn</v>
      </c>
    </row>
    <row r="316" spans="6:10" x14ac:dyDescent="0.25">
      <c r="F316" t="s">
        <v>105</v>
      </c>
      <c r="G316" s="7" cm="1">
        <f t="array" ref="G316">INT(planned(F316))</f>
        <v>170</v>
      </c>
      <c r="H316">
        <f>VLOOKUP(G316,Table4[[#All],[Cost Center]:[Client Type]],2,TRUE)</f>
        <v>113</v>
      </c>
      <c r="I316" t="str">
        <f>VLOOKUP(G316,Table4[[#All],[Cost Center]:[Client Type]],3,TRUE)</f>
        <v>Mivida BP#189</v>
      </c>
      <c r="J316" t="str">
        <f>VLOOKUP(G316,Table4[[#All],[Cost Center]:[Client Type]],5,TRUE)</f>
        <v>Osama Mezayn</v>
      </c>
    </row>
    <row r="317" spans="6:10" x14ac:dyDescent="0.25">
      <c r="F317" t="s">
        <v>105</v>
      </c>
      <c r="G317" s="7" cm="1">
        <f t="array" ref="G317">INT(planned(F317))</f>
        <v>170</v>
      </c>
      <c r="H317">
        <f>VLOOKUP(G317,Table4[[#All],[Cost Center]:[Client Type]],2,TRUE)</f>
        <v>113</v>
      </c>
      <c r="I317" t="str">
        <f>VLOOKUP(G317,Table4[[#All],[Cost Center]:[Client Type]],3,TRUE)</f>
        <v>Mivida BP#189</v>
      </c>
      <c r="J317" t="str">
        <f>VLOOKUP(G317,Table4[[#All],[Cost Center]:[Client Type]],5,TRUE)</f>
        <v>Osama Mezayn</v>
      </c>
    </row>
    <row r="318" spans="6:10" x14ac:dyDescent="0.25">
      <c r="F318" t="s">
        <v>105</v>
      </c>
      <c r="G318" s="7" cm="1">
        <f t="array" ref="G318">INT(planned(F318))</f>
        <v>170</v>
      </c>
      <c r="H318">
        <f>VLOOKUP(G318,Table4[[#All],[Cost Center]:[Client Type]],2,TRUE)</f>
        <v>113</v>
      </c>
      <c r="I318" t="str">
        <f>VLOOKUP(G318,Table4[[#All],[Cost Center]:[Client Type]],3,TRUE)</f>
        <v>Mivida BP#189</v>
      </c>
      <c r="J318" t="str">
        <f>VLOOKUP(G318,Table4[[#All],[Cost Center]:[Client Type]],5,TRUE)</f>
        <v>Osama Mezayn</v>
      </c>
    </row>
    <row r="319" spans="6:10" x14ac:dyDescent="0.25">
      <c r="F319" t="s">
        <v>105</v>
      </c>
      <c r="G319" s="7" cm="1">
        <f t="array" ref="G319">INT(planned(F319))</f>
        <v>170</v>
      </c>
      <c r="H319">
        <f>VLOOKUP(G319,Table4[[#All],[Cost Center]:[Client Type]],2,TRUE)</f>
        <v>113</v>
      </c>
      <c r="I319" t="str">
        <f>VLOOKUP(G319,Table4[[#All],[Cost Center]:[Client Type]],3,TRUE)</f>
        <v>Mivida BP#189</v>
      </c>
      <c r="J319" t="str">
        <f>VLOOKUP(G319,Table4[[#All],[Cost Center]:[Client Type]],5,TRUE)</f>
        <v>Osama Mezayn</v>
      </c>
    </row>
    <row r="320" spans="6:10" x14ac:dyDescent="0.25">
      <c r="F320" t="s">
        <v>105</v>
      </c>
      <c r="G320" s="7" cm="1">
        <f t="array" ref="G320">INT(planned(F320))</f>
        <v>170</v>
      </c>
      <c r="H320">
        <f>VLOOKUP(G320,Table4[[#All],[Cost Center]:[Client Type]],2,TRUE)</f>
        <v>113</v>
      </c>
      <c r="I320" t="str">
        <f>VLOOKUP(G320,Table4[[#All],[Cost Center]:[Client Type]],3,TRUE)</f>
        <v>Mivida BP#189</v>
      </c>
      <c r="J320" t="str">
        <f>VLOOKUP(G320,Table4[[#All],[Cost Center]:[Client Type]],5,TRUE)</f>
        <v>Osama Mezayn</v>
      </c>
    </row>
    <row r="321" spans="6:10" x14ac:dyDescent="0.25">
      <c r="F321" t="s">
        <v>105</v>
      </c>
      <c r="G321" s="7" cm="1">
        <f t="array" ref="G321">INT(planned(F321))</f>
        <v>170</v>
      </c>
      <c r="H321">
        <f>VLOOKUP(G321,Table4[[#All],[Cost Center]:[Client Type]],2,TRUE)</f>
        <v>113</v>
      </c>
      <c r="I321" t="str">
        <f>VLOOKUP(G321,Table4[[#All],[Cost Center]:[Client Type]],3,TRUE)</f>
        <v>Mivida BP#189</v>
      </c>
      <c r="J321" t="str">
        <f>VLOOKUP(G321,Table4[[#All],[Cost Center]:[Client Type]],5,TRUE)</f>
        <v>Osama Mezayn</v>
      </c>
    </row>
    <row r="322" spans="6:10" x14ac:dyDescent="0.25">
      <c r="F322" t="s">
        <v>105</v>
      </c>
      <c r="G322" s="7" cm="1">
        <f t="array" ref="G322">INT(planned(F322))</f>
        <v>170</v>
      </c>
      <c r="H322">
        <f>VLOOKUP(G322,Table4[[#All],[Cost Center]:[Client Type]],2,TRUE)</f>
        <v>113</v>
      </c>
      <c r="I322" t="str">
        <f>VLOOKUP(G322,Table4[[#All],[Cost Center]:[Client Type]],3,TRUE)</f>
        <v>Mivida BP#189</v>
      </c>
      <c r="J322" t="str">
        <f>VLOOKUP(G322,Table4[[#All],[Cost Center]:[Client Type]],5,TRUE)</f>
        <v>Osama Mezayn</v>
      </c>
    </row>
    <row r="323" spans="6:10" x14ac:dyDescent="0.25">
      <c r="F323" t="s">
        <v>105</v>
      </c>
      <c r="G323" s="7" cm="1">
        <f t="array" ref="G323">INT(planned(F323))</f>
        <v>170</v>
      </c>
      <c r="H323">
        <f>VLOOKUP(G323,Table4[[#All],[Cost Center]:[Client Type]],2,TRUE)</f>
        <v>113</v>
      </c>
      <c r="I323" t="str">
        <f>VLOOKUP(G323,Table4[[#All],[Cost Center]:[Client Type]],3,TRUE)</f>
        <v>Mivida BP#189</v>
      </c>
      <c r="J323" t="str">
        <f>VLOOKUP(G323,Table4[[#All],[Cost Center]:[Client Type]],5,TRUE)</f>
        <v>Osama Mezayn</v>
      </c>
    </row>
    <row r="324" spans="6:10" x14ac:dyDescent="0.25">
      <c r="F324" t="s">
        <v>105</v>
      </c>
      <c r="G324" s="7" cm="1">
        <f t="array" ref="G324">INT(planned(F324))</f>
        <v>170</v>
      </c>
      <c r="H324">
        <f>VLOOKUP(G324,Table4[[#All],[Cost Center]:[Client Type]],2,TRUE)</f>
        <v>113</v>
      </c>
      <c r="I324" t="str">
        <f>VLOOKUP(G324,Table4[[#All],[Cost Center]:[Client Type]],3,TRUE)</f>
        <v>Mivida BP#189</v>
      </c>
      <c r="J324" t="str">
        <f>VLOOKUP(G324,Table4[[#All],[Cost Center]:[Client Type]],5,TRUE)</f>
        <v>Osama Mezayn</v>
      </c>
    </row>
    <row r="325" spans="6:10" x14ac:dyDescent="0.25">
      <c r="F325" t="s">
        <v>105</v>
      </c>
      <c r="G325" s="7" cm="1">
        <f t="array" ref="G325">INT(planned(F325))</f>
        <v>170</v>
      </c>
      <c r="H325">
        <f>VLOOKUP(G325,Table4[[#All],[Cost Center]:[Client Type]],2,TRUE)</f>
        <v>113</v>
      </c>
      <c r="I325" t="str">
        <f>VLOOKUP(G325,Table4[[#All],[Cost Center]:[Client Type]],3,TRUE)</f>
        <v>Mivida BP#189</v>
      </c>
      <c r="J325" t="str">
        <f>VLOOKUP(G325,Table4[[#All],[Cost Center]:[Client Type]],5,TRUE)</f>
        <v>Osama Mezayn</v>
      </c>
    </row>
    <row r="326" spans="6:10" x14ac:dyDescent="0.25">
      <c r="F326" t="s">
        <v>105</v>
      </c>
      <c r="G326" s="7" cm="1">
        <f t="array" ref="G326">INT(planned(F326))</f>
        <v>170</v>
      </c>
      <c r="H326">
        <f>VLOOKUP(G326,Table4[[#All],[Cost Center]:[Client Type]],2,TRUE)</f>
        <v>113</v>
      </c>
      <c r="I326" t="str">
        <f>VLOOKUP(G326,Table4[[#All],[Cost Center]:[Client Type]],3,TRUE)</f>
        <v>Mivida BP#189</v>
      </c>
      <c r="J326" t="str">
        <f>VLOOKUP(G326,Table4[[#All],[Cost Center]:[Client Type]],5,TRUE)</f>
        <v>Osama Mezayn</v>
      </c>
    </row>
    <row r="327" spans="6:10" x14ac:dyDescent="0.25">
      <c r="F327" t="s">
        <v>105</v>
      </c>
      <c r="G327" s="7" cm="1">
        <f t="array" ref="G327">INT(planned(F327))</f>
        <v>170</v>
      </c>
      <c r="H327">
        <f>VLOOKUP(G327,Table4[[#All],[Cost Center]:[Client Type]],2,TRUE)</f>
        <v>113</v>
      </c>
      <c r="I327" t="str">
        <f>VLOOKUP(G327,Table4[[#All],[Cost Center]:[Client Type]],3,TRUE)</f>
        <v>Mivida BP#189</v>
      </c>
      <c r="J327" t="str">
        <f>VLOOKUP(G327,Table4[[#All],[Cost Center]:[Client Type]],5,TRUE)</f>
        <v>Osama Mezayn</v>
      </c>
    </row>
    <row r="328" spans="6:10" x14ac:dyDescent="0.25">
      <c r="F328" t="s">
        <v>105</v>
      </c>
      <c r="G328" s="7" cm="1">
        <f t="array" ref="G328">INT(planned(F328))</f>
        <v>170</v>
      </c>
      <c r="H328">
        <f>VLOOKUP(G328,Table4[[#All],[Cost Center]:[Client Type]],2,TRUE)</f>
        <v>113</v>
      </c>
      <c r="I328" t="str">
        <f>VLOOKUP(G328,Table4[[#All],[Cost Center]:[Client Type]],3,TRUE)</f>
        <v>Mivida BP#189</v>
      </c>
      <c r="J328" t="str">
        <f>VLOOKUP(G328,Table4[[#All],[Cost Center]:[Client Type]],5,TRUE)</f>
        <v>Osama Mezayn</v>
      </c>
    </row>
    <row r="329" spans="6:10" x14ac:dyDescent="0.25">
      <c r="F329" t="s">
        <v>105</v>
      </c>
      <c r="G329" s="7" cm="1">
        <f t="array" ref="G329">INT(planned(F329))</f>
        <v>170</v>
      </c>
      <c r="H329">
        <f>VLOOKUP(G329,Table4[[#All],[Cost Center]:[Client Type]],2,TRUE)</f>
        <v>113</v>
      </c>
      <c r="I329" t="str">
        <f>VLOOKUP(G329,Table4[[#All],[Cost Center]:[Client Type]],3,TRUE)</f>
        <v>Mivida BP#189</v>
      </c>
      <c r="J329" t="str">
        <f>VLOOKUP(G329,Table4[[#All],[Cost Center]:[Client Type]],5,TRUE)</f>
        <v>Osama Mezayn</v>
      </c>
    </row>
    <row r="330" spans="6:10" x14ac:dyDescent="0.25">
      <c r="F330" t="s">
        <v>105</v>
      </c>
      <c r="G330" s="7" cm="1">
        <f t="array" ref="G330">INT(planned(F330))</f>
        <v>170</v>
      </c>
      <c r="H330">
        <f>VLOOKUP(G330,Table4[[#All],[Cost Center]:[Client Type]],2,TRUE)</f>
        <v>113</v>
      </c>
      <c r="I330" t="str">
        <f>VLOOKUP(G330,Table4[[#All],[Cost Center]:[Client Type]],3,TRUE)</f>
        <v>Mivida BP#189</v>
      </c>
      <c r="J330" t="str">
        <f>VLOOKUP(G330,Table4[[#All],[Cost Center]:[Client Type]],5,TRUE)</f>
        <v>Osama Mezayn</v>
      </c>
    </row>
    <row r="331" spans="6:10" x14ac:dyDescent="0.25">
      <c r="F331" t="s">
        <v>105</v>
      </c>
      <c r="G331" s="7" cm="1">
        <f t="array" ref="G331">INT(planned(F331))</f>
        <v>170</v>
      </c>
      <c r="H331">
        <f>VLOOKUP(G331,Table4[[#All],[Cost Center]:[Client Type]],2,TRUE)</f>
        <v>113</v>
      </c>
      <c r="I331" t="str">
        <f>VLOOKUP(G331,Table4[[#All],[Cost Center]:[Client Type]],3,TRUE)</f>
        <v>Mivida BP#189</v>
      </c>
      <c r="J331" t="str">
        <f>VLOOKUP(G331,Table4[[#All],[Cost Center]:[Client Type]],5,TRUE)</f>
        <v>Osama Mezayn</v>
      </c>
    </row>
    <row r="332" spans="6:10" x14ac:dyDescent="0.25">
      <c r="F332" t="s">
        <v>105</v>
      </c>
      <c r="G332" s="7" cm="1">
        <f t="array" ref="G332">INT(planned(F332))</f>
        <v>170</v>
      </c>
      <c r="H332">
        <f>VLOOKUP(G332,Table4[[#All],[Cost Center]:[Client Type]],2,TRUE)</f>
        <v>113</v>
      </c>
      <c r="I332" t="str">
        <f>VLOOKUP(G332,Table4[[#All],[Cost Center]:[Client Type]],3,TRUE)</f>
        <v>Mivida BP#189</v>
      </c>
      <c r="J332" t="str">
        <f>VLOOKUP(G332,Table4[[#All],[Cost Center]:[Client Type]],5,TRUE)</f>
        <v>Osama Mezayn</v>
      </c>
    </row>
    <row r="333" spans="6:10" x14ac:dyDescent="0.25">
      <c r="F333" t="s">
        <v>105</v>
      </c>
      <c r="G333" s="7" cm="1">
        <f t="array" ref="G333">INT(planned(F333))</f>
        <v>170</v>
      </c>
      <c r="H333">
        <f>VLOOKUP(G333,Table4[[#All],[Cost Center]:[Client Type]],2,TRUE)</f>
        <v>113</v>
      </c>
      <c r="I333" t="str">
        <f>VLOOKUP(G333,Table4[[#All],[Cost Center]:[Client Type]],3,TRUE)</f>
        <v>Mivida BP#189</v>
      </c>
      <c r="J333" t="str">
        <f>VLOOKUP(G333,Table4[[#All],[Cost Center]:[Client Type]],5,TRUE)</f>
        <v>Osama Mezayn</v>
      </c>
    </row>
    <row r="334" spans="6:10" x14ac:dyDescent="0.25">
      <c r="F334" t="s">
        <v>105</v>
      </c>
      <c r="G334" s="7" cm="1">
        <f t="array" ref="G334">INT(planned(F334))</f>
        <v>170</v>
      </c>
      <c r="H334">
        <f>VLOOKUP(G334,Table4[[#All],[Cost Center]:[Client Type]],2,TRUE)</f>
        <v>113</v>
      </c>
      <c r="I334" t="str">
        <f>VLOOKUP(G334,Table4[[#All],[Cost Center]:[Client Type]],3,TRUE)</f>
        <v>Mivida BP#189</v>
      </c>
      <c r="J334" t="str">
        <f>VLOOKUP(G334,Table4[[#All],[Cost Center]:[Client Type]],5,TRUE)</f>
        <v>Osama Mezayn</v>
      </c>
    </row>
    <row r="335" spans="6:10" x14ac:dyDescent="0.25">
      <c r="F335" t="s">
        <v>105</v>
      </c>
      <c r="G335" s="7" cm="1">
        <f t="array" ref="G335">INT(planned(F335))</f>
        <v>170</v>
      </c>
      <c r="H335">
        <f>VLOOKUP(G335,Table4[[#All],[Cost Center]:[Client Type]],2,TRUE)</f>
        <v>113</v>
      </c>
      <c r="I335" t="str">
        <f>VLOOKUP(G335,Table4[[#All],[Cost Center]:[Client Type]],3,TRUE)</f>
        <v>Mivida BP#189</v>
      </c>
      <c r="J335" t="str">
        <f>VLOOKUP(G335,Table4[[#All],[Cost Center]:[Client Type]],5,TRUE)</f>
        <v>Osama Mezayn</v>
      </c>
    </row>
    <row r="336" spans="6:10" x14ac:dyDescent="0.25">
      <c r="F336" t="s">
        <v>105</v>
      </c>
      <c r="G336" s="7" cm="1">
        <f t="array" ref="G336">INT(planned(F336))</f>
        <v>170</v>
      </c>
      <c r="H336">
        <f>VLOOKUP(G336,Table4[[#All],[Cost Center]:[Client Type]],2,TRUE)</f>
        <v>113</v>
      </c>
      <c r="I336" t="str">
        <f>VLOOKUP(G336,Table4[[#All],[Cost Center]:[Client Type]],3,TRUE)</f>
        <v>Mivida BP#189</v>
      </c>
      <c r="J336" t="str">
        <f>VLOOKUP(G336,Table4[[#All],[Cost Center]:[Client Type]],5,TRUE)</f>
        <v>Osama Mezayn</v>
      </c>
    </row>
    <row r="337" spans="6:10" x14ac:dyDescent="0.25">
      <c r="F337" t="s">
        <v>105</v>
      </c>
      <c r="G337" s="7" cm="1">
        <f t="array" ref="G337">INT(planned(F337))</f>
        <v>170</v>
      </c>
      <c r="H337">
        <f>VLOOKUP(G337,Table4[[#All],[Cost Center]:[Client Type]],2,TRUE)</f>
        <v>113</v>
      </c>
      <c r="I337" t="str">
        <f>VLOOKUP(G337,Table4[[#All],[Cost Center]:[Client Type]],3,TRUE)</f>
        <v>Mivida BP#189</v>
      </c>
      <c r="J337" t="str">
        <f>VLOOKUP(G337,Table4[[#All],[Cost Center]:[Client Type]],5,TRUE)</f>
        <v>Osama Mezayn</v>
      </c>
    </row>
    <row r="338" spans="6:10" x14ac:dyDescent="0.25">
      <c r="F338" t="s">
        <v>105</v>
      </c>
      <c r="G338" s="7" cm="1">
        <f t="array" ref="G338">INT(planned(F338))</f>
        <v>170</v>
      </c>
      <c r="H338">
        <f>VLOOKUP(G338,Table4[[#All],[Cost Center]:[Client Type]],2,TRUE)</f>
        <v>113</v>
      </c>
      <c r="I338" t="str">
        <f>VLOOKUP(G338,Table4[[#All],[Cost Center]:[Client Type]],3,TRUE)</f>
        <v>Mivida BP#189</v>
      </c>
      <c r="J338" t="str">
        <f>VLOOKUP(G338,Table4[[#All],[Cost Center]:[Client Type]],5,TRUE)</f>
        <v>Osama Mezayn</v>
      </c>
    </row>
    <row r="339" spans="6:10" x14ac:dyDescent="0.25">
      <c r="F339" t="s">
        <v>105</v>
      </c>
      <c r="G339" s="7" cm="1">
        <f t="array" ref="G339">INT(planned(F339))</f>
        <v>170</v>
      </c>
      <c r="H339">
        <f>VLOOKUP(G339,Table4[[#All],[Cost Center]:[Client Type]],2,TRUE)</f>
        <v>113</v>
      </c>
      <c r="I339" t="str">
        <f>VLOOKUP(G339,Table4[[#All],[Cost Center]:[Client Type]],3,TRUE)</f>
        <v>Mivida BP#189</v>
      </c>
      <c r="J339" t="str">
        <f>VLOOKUP(G339,Table4[[#All],[Cost Center]:[Client Type]],5,TRUE)</f>
        <v>Osama Mezayn</v>
      </c>
    </row>
    <row r="340" spans="6:10" x14ac:dyDescent="0.25">
      <c r="F340" t="s">
        <v>105</v>
      </c>
      <c r="G340" s="7" cm="1">
        <f t="array" ref="G340">INT(planned(F340))</f>
        <v>170</v>
      </c>
      <c r="H340">
        <f>VLOOKUP(G340,Table4[[#All],[Cost Center]:[Client Type]],2,TRUE)</f>
        <v>113</v>
      </c>
      <c r="I340" t="str">
        <f>VLOOKUP(G340,Table4[[#All],[Cost Center]:[Client Type]],3,TRUE)</f>
        <v>Mivida BP#189</v>
      </c>
      <c r="J340" t="str">
        <f>VLOOKUP(G340,Table4[[#All],[Cost Center]:[Client Type]],5,TRUE)</f>
        <v>Osama Mezayn</v>
      </c>
    </row>
    <row r="341" spans="6:10" x14ac:dyDescent="0.25">
      <c r="F341" t="s">
        <v>105</v>
      </c>
      <c r="G341" s="7" cm="1">
        <f t="array" ref="G341">INT(planned(F341))</f>
        <v>170</v>
      </c>
      <c r="H341">
        <f>VLOOKUP(G341,Table4[[#All],[Cost Center]:[Client Type]],2,TRUE)</f>
        <v>113</v>
      </c>
      <c r="I341" t="str">
        <f>VLOOKUP(G341,Table4[[#All],[Cost Center]:[Client Type]],3,TRUE)</f>
        <v>Mivida BP#189</v>
      </c>
      <c r="J341" t="str">
        <f>VLOOKUP(G341,Table4[[#All],[Cost Center]:[Client Type]],5,TRUE)</f>
        <v>Osama Mezayn</v>
      </c>
    </row>
    <row r="342" spans="6:10" x14ac:dyDescent="0.25">
      <c r="F342" t="s">
        <v>105</v>
      </c>
      <c r="G342" s="7" cm="1">
        <f t="array" ref="G342">INT(planned(F342))</f>
        <v>170</v>
      </c>
      <c r="H342">
        <f>VLOOKUP(G342,Table4[[#All],[Cost Center]:[Client Type]],2,TRUE)</f>
        <v>113</v>
      </c>
      <c r="I342" t="str">
        <f>VLOOKUP(G342,Table4[[#All],[Cost Center]:[Client Type]],3,TRUE)</f>
        <v>Mivida BP#189</v>
      </c>
      <c r="J342" t="str">
        <f>VLOOKUP(G342,Table4[[#All],[Cost Center]:[Client Type]],5,TRUE)</f>
        <v>Osama Mezayn</v>
      </c>
    </row>
    <row r="343" spans="6:10" x14ac:dyDescent="0.25">
      <c r="F343" t="s">
        <v>105</v>
      </c>
      <c r="G343" s="7" cm="1">
        <f t="array" ref="G343">INT(planned(F343))</f>
        <v>170</v>
      </c>
      <c r="H343">
        <f>VLOOKUP(G343,Table4[[#All],[Cost Center]:[Client Type]],2,TRUE)</f>
        <v>113</v>
      </c>
      <c r="I343" t="str">
        <f>VLOOKUP(G343,Table4[[#All],[Cost Center]:[Client Type]],3,TRUE)</f>
        <v>Mivida BP#189</v>
      </c>
      <c r="J343" t="str">
        <f>VLOOKUP(G343,Table4[[#All],[Cost Center]:[Client Type]],5,TRUE)</f>
        <v>Osama Mezayn</v>
      </c>
    </row>
    <row r="344" spans="6:10" x14ac:dyDescent="0.25">
      <c r="F344" t="s">
        <v>105</v>
      </c>
      <c r="G344" s="7" cm="1">
        <f t="array" ref="G344">INT(planned(F344))</f>
        <v>170</v>
      </c>
      <c r="H344">
        <f>VLOOKUP(G344,Table4[[#All],[Cost Center]:[Client Type]],2,TRUE)</f>
        <v>113</v>
      </c>
      <c r="I344" t="str">
        <f>VLOOKUP(G344,Table4[[#All],[Cost Center]:[Client Type]],3,TRUE)</f>
        <v>Mivida BP#189</v>
      </c>
      <c r="J344" t="str">
        <f>VLOOKUP(G344,Table4[[#All],[Cost Center]:[Client Type]],5,TRUE)</f>
        <v>Osama Mezayn</v>
      </c>
    </row>
    <row r="345" spans="6:10" x14ac:dyDescent="0.25">
      <c r="F345" t="s">
        <v>105</v>
      </c>
      <c r="G345" s="7" cm="1">
        <f t="array" ref="G345">INT(planned(F345))</f>
        <v>170</v>
      </c>
      <c r="H345">
        <f>VLOOKUP(G345,Table4[[#All],[Cost Center]:[Client Type]],2,TRUE)</f>
        <v>113</v>
      </c>
      <c r="I345" t="str">
        <f>VLOOKUP(G345,Table4[[#All],[Cost Center]:[Client Type]],3,TRUE)</f>
        <v>Mivida BP#189</v>
      </c>
      <c r="J345" t="str">
        <f>VLOOKUP(G345,Table4[[#All],[Cost Center]:[Client Type]],5,TRUE)</f>
        <v>Osama Mezayn</v>
      </c>
    </row>
    <row r="346" spans="6:10" x14ac:dyDescent="0.25">
      <c r="F346" t="s">
        <v>105</v>
      </c>
      <c r="G346" s="7" cm="1">
        <f t="array" ref="G346">INT(planned(F346))</f>
        <v>170</v>
      </c>
      <c r="H346">
        <f>VLOOKUP(G346,Table4[[#All],[Cost Center]:[Client Type]],2,TRUE)</f>
        <v>113</v>
      </c>
      <c r="I346" t="str">
        <f>VLOOKUP(G346,Table4[[#All],[Cost Center]:[Client Type]],3,TRUE)</f>
        <v>Mivida BP#189</v>
      </c>
      <c r="J346" t="str">
        <f>VLOOKUP(G346,Table4[[#All],[Cost Center]:[Client Type]],5,TRUE)</f>
        <v>Osama Mezayn</v>
      </c>
    </row>
    <row r="347" spans="6:10" x14ac:dyDescent="0.25">
      <c r="F347" t="s">
        <v>105</v>
      </c>
      <c r="G347" s="7" cm="1">
        <f t="array" ref="G347">INT(planned(F347))</f>
        <v>170</v>
      </c>
      <c r="H347">
        <f>VLOOKUP(G347,Table4[[#All],[Cost Center]:[Client Type]],2,TRUE)</f>
        <v>113</v>
      </c>
      <c r="I347" t="str">
        <f>VLOOKUP(G347,Table4[[#All],[Cost Center]:[Client Type]],3,TRUE)</f>
        <v>Mivida BP#189</v>
      </c>
      <c r="J347" t="str">
        <f>VLOOKUP(G347,Table4[[#All],[Cost Center]:[Client Type]],5,TRUE)</f>
        <v>Osama Mezayn</v>
      </c>
    </row>
    <row r="348" spans="6:10" x14ac:dyDescent="0.25">
      <c r="F348" t="s">
        <v>105</v>
      </c>
      <c r="G348" s="7" cm="1">
        <f t="array" ref="G348">INT(planned(F348))</f>
        <v>170</v>
      </c>
      <c r="H348">
        <f>VLOOKUP(G348,Table4[[#All],[Cost Center]:[Client Type]],2,TRUE)</f>
        <v>113</v>
      </c>
      <c r="I348" t="str">
        <f>VLOOKUP(G348,Table4[[#All],[Cost Center]:[Client Type]],3,TRUE)</f>
        <v>Mivida BP#189</v>
      </c>
      <c r="J348" t="str">
        <f>VLOOKUP(G348,Table4[[#All],[Cost Center]:[Client Type]],5,TRUE)</f>
        <v>Osama Mezayn</v>
      </c>
    </row>
    <row r="349" spans="6:10" x14ac:dyDescent="0.25">
      <c r="F349" t="s">
        <v>105</v>
      </c>
      <c r="G349" s="7" cm="1">
        <f t="array" ref="G349">INT(planned(F349))</f>
        <v>170</v>
      </c>
      <c r="H349">
        <f>VLOOKUP(G349,Table4[[#All],[Cost Center]:[Client Type]],2,TRUE)</f>
        <v>113</v>
      </c>
      <c r="I349" t="str">
        <f>VLOOKUP(G349,Table4[[#All],[Cost Center]:[Client Type]],3,TRUE)</f>
        <v>Mivida BP#189</v>
      </c>
      <c r="J349" t="str">
        <f>VLOOKUP(G349,Table4[[#All],[Cost Center]:[Client Type]],5,TRUE)</f>
        <v>Osama Mezayn</v>
      </c>
    </row>
    <row r="350" spans="6:10" x14ac:dyDescent="0.25">
      <c r="F350" t="s">
        <v>105</v>
      </c>
      <c r="G350" s="7" cm="1">
        <f t="array" ref="G350">INT(planned(F350))</f>
        <v>170</v>
      </c>
      <c r="H350">
        <f>VLOOKUP(G350,Table4[[#All],[Cost Center]:[Client Type]],2,TRUE)</f>
        <v>113</v>
      </c>
      <c r="I350" t="str">
        <f>VLOOKUP(G350,Table4[[#All],[Cost Center]:[Client Type]],3,TRUE)</f>
        <v>Mivida BP#189</v>
      </c>
      <c r="J350" t="str">
        <f>VLOOKUP(G350,Table4[[#All],[Cost Center]:[Client Type]],5,TRUE)</f>
        <v>Osama Mezayn</v>
      </c>
    </row>
    <row r="351" spans="6:10" x14ac:dyDescent="0.25">
      <c r="F351" t="s">
        <v>105</v>
      </c>
      <c r="G351" s="7" cm="1">
        <f t="array" ref="G351">INT(planned(F351))</f>
        <v>170</v>
      </c>
      <c r="H351">
        <f>VLOOKUP(G351,Table4[[#All],[Cost Center]:[Client Type]],2,TRUE)</f>
        <v>113</v>
      </c>
      <c r="I351" t="str">
        <f>VLOOKUP(G351,Table4[[#All],[Cost Center]:[Client Type]],3,TRUE)</f>
        <v>Mivida BP#189</v>
      </c>
      <c r="J351" t="str">
        <f>VLOOKUP(G351,Table4[[#All],[Cost Center]:[Client Type]],5,TRUE)</f>
        <v>Osama Mezayn</v>
      </c>
    </row>
    <row r="352" spans="6:10" x14ac:dyDescent="0.25">
      <c r="F352" t="s">
        <v>105</v>
      </c>
      <c r="G352" s="7" cm="1">
        <f t="array" ref="G352">INT(planned(F352))</f>
        <v>170</v>
      </c>
      <c r="H352">
        <f>VLOOKUP(G352,Table4[[#All],[Cost Center]:[Client Type]],2,TRUE)</f>
        <v>113</v>
      </c>
      <c r="I352" t="str">
        <f>VLOOKUP(G352,Table4[[#All],[Cost Center]:[Client Type]],3,TRUE)</f>
        <v>Mivida BP#189</v>
      </c>
      <c r="J352" t="str">
        <f>VLOOKUP(G352,Table4[[#All],[Cost Center]:[Client Type]],5,TRUE)</f>
        <v>Osama Mezayn</v>
      </c>
    </row>
    <row r="353" spans="6:10" x14ac:dyDescent="0.25">
      <c r="F353" t="s">
        <v>105</v>
      </c>
      <c r="G353" s="7" cm="1">
        <f t="array" ref="G353">INT(planned(F353))</f>
        <v>170</v>
      </c>
      <c r="H353">
        <f>VLOOKUP(G353,Table4[[#All],[Cost Center]:[Client Type]],2,TRUE)</f>
        <v>113</v>
      </c>
      <c r="I353" t="str">
        <f>VLOOKUP(G353,Table4[[#All],[Cost Center]:[Client Type]],3,TRUE)</f>
        <v>Mivida BP#189</v>
      </c>
      <c r="J353" t="str">
        <f>VLOOKUP(G353,Table4[[#All],[Cost Center]:[Client Type]],5,TRUE)</f>
        <v>Osama Mezayn</v>
      </c>
    </row>
    <row r="354" spans="6:10" x14ac:dyDescent="0.25">
      <c r="F354" t="s">
        <v>105</v>
      </c>
      <c r="G354" s="7" cm="1">
        <f t="array" ref="G354">INT(planned(F354))</f>
        <v>170</v>
      </c>
      <c r="H354">
        <f>VLOOKUP(G354,Table4[[#All],[Cost Center]:[Client Type]],2,TRUE)</f>
        <v>113</v>
      </c>
      <c r="I354" t="str">
        <f>VLOOKUP(G354,Table4[[#All],[Cost Center]:[Client Type]],3,TRUE)</f>
        <v>Mivida BP#189</v>
      </c>
      <c r="J354" t="str">
        <f>VLOOKUP(G354,Table4[[#All],[Cost Center]:[Client Type]],5,TRUE)</f>
        <v>Osama Mezayn</v>
      </c>
    </row>
    <row r="355" spans="6:10" x14ac:dyDescent="0.25">
      <c r="F355" t="s">
        <v>105</v>
      </c>
      <c r="G355" s="7" cm="1">
        <f t="array" ref="G355">INT(planned(F355))</f>
        <v>170</v>
      </c>
      <c r="H355">
        <f>VLOOKUP(G355,Table4[[#All],[Cost Center]:[Client Type]],2,TRUE)</f>
        <v>113</v>
      </c>
      <c r="I355" t="str">
        <f>VLOOKUP(G355,Table4[[#All],[Cost Center]:[Client Type]],3,TRUE)</f>
        <v>Mivida BP#189</v>
      </c>
      <c r="J355" t="str">
        <f>VLOOKUP(G355,Table4[[#All],[Cost Center]:[Client Type]],5,TRUE)</f>
        <v>Osama Mezayn</v>
      </c>
    </row>
    <row r="356" spans="6:10" x14ac:dyDescent="0.25">
      <c r="F356" t="s">
        <v>105</v>
      </c>
      <c r="G356" s="7" cm="1">
        <f t="array" ref="G356">INT(planned(F356))</f>
        <v>170</v>
      </c>
      <c r="H356">
        <f>VLOOKUP(G356,Table4[[#All],[Cost Center]:[Client Type]],2,TRUE)</f>
        <v>113</v>
      </c>
      <c r="I356" t="str">
        <f>VLOOKUP(G356,Table4[[#All],[Cost Center]:[Client Type]],3,TRUE)</f>
        <v>Mivida BP#189</v>
      </c>
      <c r="J356" t="str">
        <f>VLOOKUP(G356,Table4[[#All],[Cost Center]:[Client Type]],5,TRUE)</f>
        <v>Osama Mezayn</v>
      </c>
    </row>
    <row r="357" spans="6:10" x14ac:dyDescent="0.25">
      <c r="F357" t="s">
        <v>105</v>
      </c>
      <c r="G357" s="7" cm="1">
        <f t="array" ref="G357">INT(planned(F357))</f>
        <v>170</v>
      </c>
      <c r="H357">
        <f>VLOOKUP(G357,Table4[[#All],[Cost Center]:[Client Type]],2,TRUE)</f>
        <v>113</v>
      </c>
      <c r="I357" t="str">
        <f>VLOOKUP(G357,Table4[[#All],[Cost Center]:[Client Type]],3,TRUE)</f>
        <v>Mivida BP#189</v>
      </c>
      <c r="J357" t="str">
        <f>VLOOKUP(G357,Table4[[#All],[Cost Center]:[Client Type]],5,TRUE)</f>
        <v>Osama Mezayn</v>
      </c>
    </row>
    <row r="358" spans="6:10" x14ac:dyDescent="0.25">
      <c r="F358" t="s">
        <v>105</v>
      </c>
      <c r="G358" s="7" cm="1">
        <f t="array" ref="G358">INT(planned(F358))</f>
        <v>170</v>
      </c>
      <c r="H358">
        <f>VLOOKUP(G358,Table4[[#All],[Cost Center]:[Client Type]],2,TRUE)</f>
        <v>113</v>
      </c>
      <c r="I358" t="str">
        <f>VLOOKUP(G358,Table4[[#All],[Cost Center]:[Client Type]],3,TRUE)</f>
        <v>Mivida BP#189</v>
      </c>
      <c r="J358" t="str">
        <f>VLOOKUP(G358,Table4[[#All],[Cost Center]:[Client Type]],5,TRUE)</f>
        <v>Osama Mezayn</v>
      </c>
    </row>
    <row r="359" spans="6:10" x14ac:dyDescent="0.25">
      <c r="F359" t="s">
        <v>105</v>
      </c>
      <c r="G359" s="7" cm="1">
        <f t="array" ref="G359">INT(planned(F359))</f>
        <v>170</v>
      </c>
      <c r="H359">
        <f>VLOOKUP(G359,Table4[[#All],[Cost Center]:[Client Type]],2,TRUE)</f>
        <v>113</v>
      </c>
      <c r="I359" t="str">
        <f>VLOOKUP(G359,Table4[[#All],[Cost Center]:[Client Type]],3,TRUE)</f>
        <v>Mivida BP#189</v>
      </c>
      <c r="J359" t="str">
        <f>VLOOKUP(G359,Table4[[#All],[Cost Center]:[Client Type]],5,TRUE)</f>
        <v>Osama Mezayn</v>
      </c>
    </row>
    <row r="360" spans="6:10" x14ac:dyDescent="0.25">
      <c r="F360" t="s">
        <v>105</v>
      </c>
      <c r="G360" s="7" cm="1">
        <f t="array" ref="G360">INT(planned(F360))</f>
        <v>170</v>
      </c>
      <c r="H360">
        <f>VLOOKUP(G360,Table4[[#All],[Cost Center]:[Client Type]],2,TRUE)</f>
        <v>113</v>
      </c>
      <c r="I360" t="str">
        <f>VLOOKUP(G360,Table4[[#All],[Cost Center]:[Client Type]],3,TRUE)</f>
        <v>Mivida BP#189</v>
      </c>
      <c r="J360" t="str">
        <f>VLOOKUP(G360,Table4[[#All],[Cost Center]:[Client Type]],5,TRUE)</f>
        <v>Osama Mezayn</v>
      </c>
    </row>
    <row r="361" spans="6:10" x14ac:dyDescent="0.25">
      <c r="F361" t="s">
        <v>105</v>
      </c>
      <c r="G361" s="7" cm="1">
        <f t="array" ref="G361">INT(planned(F361))</f>
        <v>170</v>
      </c>
      <c r="H361">
        <f>VLOOKUP(G361,Table4[[#All],[Cost Center]:[Client Type]],2,TRUE)</f>
        <v>113</v>
      </c>
      <c r="I361" t="str">
        <f>VLOOKUP(G361,Table4[[#All],[Cost Center]:[Client Type]],3,TRUE)</f>
        <v>Mivida BP#189</v>
      </c>
      <c r="J361" t="str">
        <f>VLOOKUP(G361,Table4[[#All],[Cost Center]:[Client Type]],5,TRUE)</f>
        <v>Osama Mezayn</v>
      </c>
    </row>
    <row r="362" spans="6:10" x14ac:dyDescent="0.25">
      <c r="F362" t="s">
        <v>105</v>
      </c>
      <c r="G362" s="7" cm="1">
        <f t="array" ref="G362">INT(planned(F362))</f>
        <v>170</v>
      </c>
      <c r="H362">
        <f>VLOOKUP(G362,Table4[[#All],[Cost Center]:[Client Type]],2,TRUE)</f>
        <v>113</v>
      </c>
      <c r="I362" t="str">
        <f>VLOOKUP(G362,Table4[[#All],[Cost Center]:[Client Type]],3,TRUE)</f>
        <v>Mivida BP#189</v>
      </c>
      <c r="J362" t="str">
        <f>VLOOKUP(G362,Table4[[#All],[Cost Center]:[Client Type]],5,TRUE)</f>
        <v>Osama Mezayn</v>
      </c>
    </row>
    <row r="363" spans="6:10" x14ac:dyDescent="0.25">
      <c r="F363" t="s">
        <v>105</v>
      </c>
      <c r="G363" s="7" cm="1">
        <f t="array" ref="G363">INT(planned(F363))</f>
        <v>170</v>
      </c>
      <c r="H363">
        <f>VLOOKUP(G363,Table4[[#All],[Cost Center]:[Client Type]],2,TRUE)</f>
        <v>113</v>
      </c>
      <c r="I363" t="str">
        <f>VLOOKUP(G363,Table4[[#All],[Cost Center]:[Client Type]],3,TRUE)</f>
        <v>Mivida BP#189</v>
      </c>
      <c r="J363" t="str">
        <f>VLOOKUP(G363,Table4[[#All],[Cost Center]:[Client Type]],5,TRUE)</f>
        <v>Osama Mezayn</v>
      </c>
    </row>
    <row r="364" spans="6:10" x14ac:dyDescent="0.25">
      <c r="F364" t="s">
        <v>105</v>
      </c>
      <c r="G364" s="7" cm="1">
        <f t="array" ref="G364">INT(planned(F364))</f>
        <v>170</v>
      </c>
      <c r="H364">
        <f>VLOOKUP(G364,Table4[[#All],[Cost Center]:[Client Type]],2,TRUE)</f>
        <v>113</v>
      </c>
      <c r="I364" t="str">
        <f>VLOOKUP(G364,Table4[[#All],[Cost Center]:[Client Type]],3,TRUE)</f>
        <v>Mivida BP#189</v>
      </c>
      <c r="J364" t="str">
        <f>VLOOKUP(G364,Table4[[#All],[Cost Center]:[Client Type]],5,TRUE)</f>
        <v>Osama Mezayn</v>
      </c>
    </row>
    <row r="365" spans="6:10" x14ac:dyDescent="0.25">
      <c r="F365" t="s">
        <v>105</v>
      </c>
      <c r="G365" s="7" cm="1">
        <f t="array" ref="G365">INT(planned(F365))</f>
        <v>170</v>
      </c>
      <c r="H365">
        <f>VLOOKUP(G365,Table4[[#All],[Cost Center]:[Client Type]],2,TRUE)</f>
        <v>113</v>
      </c>
      <c r="I365" t="str">
        <f>VLOOKUP(G365,Table4[[#All],[Cost Center]:[Client Type]],3,TRUE)</f>
        <v>Mivida BP#189</v>
      </c>
      <c r="J365" t="str">
        <f>VLOOKUP(G365,Table4[[#All],[Cost Center]:[Client Type]],5,TRUE)</f>
        <v>Osama Mezayn</v>
      </c>
    </row>
    <row r="366" spans="6:10" x14ac:dyDescent="0.25">
      <c r="F366" t="s">
        <v>105</v>
      </c>
      <c r="G366" s="7" cm="1">
        <f t="array" ref="G366">INT(planned(F366))</f>
        <v>170</v>
      </c>
      <c r="H366">
        <f>VLOOKUP(G366,Table4[[#All],[Cost Center]:[Client Type]],2,TRUE)</f>
        <v>113</v>
      </c>
      <c r="I366" t="str">
        <f>VLOOKUP(G366,Table4[[#All],[Cost Center]:[Client Type]],3,TRUE)</f>
        <v>Mivida BP#189</v>
      </c>
      <c r="J366" t="str">
        <f>VLOOKUP(G366,Table4[[#All],[Cost Center]:[Client Type]],5,TRUE)</f>
        <v>Osama Mezayn</v>
      </c>
    </row>
    <row r="367" spans="6:10" x14ac:dyDescent="0.25">
      <c r="F367" t="s">
        <v>105</v>
      </c>
      <c r="G367" s="7" cm="1">
        <f t="array" ref="G367">INT(planned(F367))</f>
        <v>170</v>
      </c>
      <c r="H367">
        <f>VLOOKUP(G367,Table4[[#All],[Cost Center]:[Client Type]],2,TRUE)</f>
        <v>113</v>
      </c>
      <c r="I367" t="str">
        <f>VLOOKUP(G367,Table4[[#All],[Cost Center]:[Client Type]],3,TRUE)</f>
        <v>Mivida BP#189</v>
      </c>
      <c r="J367" t="str">
        <f>VLOOKUP(G367,Table4[[#All],[Cost Center]:[Client Type]],5,TRUE)</f>
        <v>Osama Mezayn</v>
      </c>
    </row>
    <row r="368" spans="6:10" x14ac:dyDescent="0.25">
      <c r="F368" t="s">
        <v>105</v>
      </c>
      <c r="G368" s="7" cm="1">
        <f t="array" ref="G368">INT(planned(F368))</f>
        <v>170</v>
      </c>
      <c r="H368">
        <f>VLOOKUP(G368,Table4[[#All],[Cost Center]:[Client Type]],2,TRUE)</f>
        <v>113</v>
      </c>
      <c r="I368" t="str">
        <f>VLOOKUP(G368,Table4[[#All],[Cost Center]:[Client Type]],3,TRUE)</f>
        <v>Mivida BP#189</v>
      </c>
      <c r="J368" t="str">
        <f>VLOOKUP(G368,Table4[[#All],[Cost Center]:[Client Type]],5,TRUE)</f>
        <v>Osama Mezayn</v>
      </c>
    </row>
    <row r="369" spans="6:10" x14ac:dyDescent="0.25">
      <c r="F369" t="s">
        <v>105</v>
      </c>
      <c r="G369" s="7" cm="1">
        <f t="array" ref="G369">INT(planned(F369))</f>
        <v>170</v>
      </c>
      <c r="H369">
        <f>VLOOKUP(G369,Table4[[#All],[Cost Center]:[Client Type]],2,TRUE)</f>
        <v>113</v>
      </c>
      <c r="I369" t="str">
        <f>VLOOKUP(G369,Table4[[#All],[Cost Center]:[Client Type]],3,TRUE)</f>
        <v>Mivida BP#189</v>
      </c>
      <c r="J369" t="str">
        <f>VLOOKUP(G369,Table4[[#All],[Cost Center]:[Client Type]],5,TRUE)</f>
        <v>Osama Mezayn</v>
      </c>
    </row>
    <row r="370" spans="6:10" x14ac:dyDescent="0.25">
      <c r="F370" t="s">
        <v>105</v>
      </c>
      <c r="G370" s="7" cm="1">
        <f t="array" ref="G370">INT(planned(F370))</f>
        <v>170</v>
      </c>
      <c r="H370">
        <f>VLOOKUP(G370,Table4[[#All],[Cost Center]:[Client Type]],2,TRUE)</f>
        <v>113</v>
      </c>
      <c r="I370" t="str">
        <f>VLOOKUP(G370,Table4[[#All],[Cost Center]:[Client Type]],3,TRUE)</f>
        <v>Mivida BP#189</v>
      </c>
      <c r="J370" t="str">
        <f>VLOOKUP(G370,Table4[[#All],[Cost Center]:[Client Type]],5,TRUE)</f>
        <v>Osama Mezayn</v>
      </c>
    </row>
    <row r="371" spans="6:10" x14ac:dyDescent="0.25">
      <c r="F371" t="s">
        <v>105</v>
      </c>
      <c r="G371" s="7" cm="1">
        <f t="array" ref="G371">INT(planned(F371))</f>
        <v>170</v>
      </c>
      <c r="H371">
        <f>VLOOKUP(G371,Table4[[#All],[Cost Center]:[Client Type]],2,TRUE)</f>
        <v>113</v>
      </c>
      <c r="I371" t="str">
        <f>VLOOKUP(G371,Table4[[#All],[Cost Center]:[Client Type]],3,TRUE)</f>
        <v>Mivida BP#189</v>
      </c>
      <c r="J371" t="str">
        <f>VLOOKUP(G371,Table4[[#All],[Cost Center]:[Client Type]],5,TRUE)</f>
        <v>Osama Mezayn</v>
      </c>
    </row>
    <row r="372" spans="6:10" x14ac:dyDescent="0.25">
      <c r="F372" t="s">
        <v>105</v>
      </c>
      <c r="G372" s="7" cm="1">
        <f t="array" ref="G372">INT(planned(F372))</f>
        <v>170</v>
      </c>
      <c r="H372">
        <f>VLOOKUP(G372,Table4[[#All],[Cost Center]:[Client Type]],2,TRUE)</f>
        <v>113</v>
      </c>
      <c r="I372" t="str">
        <f>VLOOKUP(G372,Table4[[#All],[Cost Center]:[Client Type]],3,TRUE)</f>
        <v>Mivida BP#189</v>
      </c>
      <c r="J372" t="str">
        <f>VLOOKUP(G372,Table4[[#All],[Cost Center]:[Client Type]],5,TRUE)</f>
        <v>Osama Mezayn</v>
      </c>
    </row>
    <row r="373" spans="6:10" x14ac:dyDescent="0.25">
      <c r="F373" t="s">
        <v>105</v>
      </c>
      <c r="G373" s="7" cm="1">
        <f t="array" ref="G373">INT(planned(F373))</f>
        <v>170</v>
      </c>
      <c r="H373">
        <f>VLOOKUP(G373,Table4[[#All],[Cost Center]:[Client Type]],2,TRUE)</f>
        <v>113</v>
      </c>
      <c r="I373" t="str">
        <f>VLOOKUP(G373,Table4[[#All],[Cost Center]:[Client Type]],3,TRUE)</f>
        <v>Mivida BP#189</v>
      </c>
      <c r="J373" t="str">
        <f>VLOOKUP(G373,Table4[[#All],[Cost Center]:[Client Type]],5,TRUE)</f>
        <v>Osama Mezayn</v>
      </c>
    </row>
    <row r="374" spans="6:10" x14ac:dyDescent="0.25">
      <c r="F374" t="s">
        <v>105</v>
      </c>
      <c r="G374" s="7" cm="1">
        <f t="array" ref="G374">INT(planned(F374))</f>
        <v>170</v>
      </c>
      <c r="H374">
        <f>VLOOKUP(G374,Table4[[#All],[Cost Center]:[Client Type]],2,TRUE)</f>
        <v>113</v>
      </c>
      <c r="I374" t="str">
        <f>VLOOKUP(G374,Table4[[#All],[Cost Center]:[Client Type]],3,TRUE)</f>
        <v>Mivida BP#189</v>
      </c>
      <c r="J374" t="str">
        <f>VLOOKUP(G374,Table4[[#All],[Cost Center]:[Client Type]],5,TRUE)</f>
        <v>Osama Mezayn</v>
      </c>
    </row>
    <row r="375" spans="6:10" x14ac:dyDescent="0.25">
      <c r="F375" t="s">
        <v>105</v>
      </c>
      <c r="G375" s="7" cm="1">
        <f t="array" ref="G375">INT(planned(F375))</f>
        <v>170</v>
      </c>
      <c r="H375">
        <f>VLOOKUP(G375,Table4[[#All],[Cost Center]:[Client Type]],2,TRUE)</f>
        <v>113</v>
      </c>
      <c r="I375" t="str">
        <f>VLOOKUP(G375,Table4[[#All],[Cost Center]:[Client Type]],3,TRUE)</f>
        <v>Mivida BP#189</v>
      </c>
      <c r="J375" t="str">
        <f>VLOOKUP(G375,Table4[[#All],[Cost Center]:[Client Type]],5,TRUE)</f>
        <v>Osama Mezayn</v>
      </c>
    </row>
    <row r="376" spans="6:10" x14ac:dyDescent="0.25">
      <c r="F376" t="s">
        <v>105</v>
      </c>
      <c r="G376" s="7" cm="1">
        <f t="array" ref="G376">INT(planned(F376))</f>
        <v>170</v>
      </c>
      <c r="H376">
        <f>VLOOKUP(G376,Table4[[#All],[Cost Center]:[Client Type]],2,TRUE)</f>
        <v>113</v>
      </c>
      <c r="I376" t="str">
        <f>VLOOKUP(G376,Table4[[#All],[Cost Center]:[Client Type]],3,TRUE)</f>
        <v>Mivida BP#189</v>
      </c>
      <c r="J376" t="str">
        <f>VLOOKUP(G376,Table4[[#All],[Cost Center]:[Client Type]],5,TRUE)</f>
        <v>Osama Mezayn</v>
      </c>
    </row>
    <row r="377" spans="6:10" x14ac:dyDescent="0.25">
      <c r="F377" t="s">
        <v>105</v>
      </c>
      <c r="G377" s="7" cm="1">
        <f t="array" ref="G377">INT(planned(F377))</f>
        <v>170</v>
      </c>
      <c r="H377">
        <f>VLOOKUP(G377,Table4[[#All],[Cost Center]:[Client Type]],2,TRUE)</f>
        <v>113</v>
      </c>
      <c r="I377" t="str">
        <f>VLOOKUP(G377,Table4[[#All],[Cost Center]:[Client Type]],3,TRUE)</f>
        <v>Mivida BP#189</v>
      </c>
      <c r="J377" t="str">
        <f>VLOOKUP(G377,Table4[[#All],[Cost Center]:[Client Type]],5,TRUE)</f>
        <v>Osama Mezayn</v>
      </c>
    </row>
    <row r="378" spans="6:10" x14ac:dyDescent="0.25">
      <c r="F378" t="s">
        <v>105</v>
      </c>
      <c r="G378" s="7" cm="1">
        <f t="array" ref="G378">INT(planned(F378))</f>
        <v>170</v>
      </c>
      <c r="H378">
        <f>VLOOKUP(G378,Table4[[#All],[Cost Center]:[Client Type]],2,TRUE)</f>
        <v>113</v>
      </c>
      <c r="I378" t="str">
        <f>VLOOKUP(G378,Table4[[#All],[Cost Center]:[Client Type]],3,TRUE)</f>
        <v>Mivida BP#189</v>
      </c>
      <c r="J378" t="str">
        <f>VLOOKUP(G378,Table4[[#All],[Cost Center]:[Client Type]],5,TRUE)</f>
        <v>Osama Mezayn</v>
      </c>
    </row>
    <row r="379" spans="6:10" x14ac:dyDescent="0.25">
      <c r="F379" t="s">
        <v>105</v>
      </c>
      <c r="G379" s="7" cm="1">
        <f t="array" ref="G379">INT(planned(F379))</f>
        <v>170</v>
      </c>
      <c r="H379">
        <f>VLOOKUP(G379,Table4[[#All],[Cost Center]:[Client Type]],2,TRUE)</f>
        <v>113</v>
      </c>
      <c r="I379" t="str">
        <f>VLOOKUP(G379,Table4[[#All],[Cost Center]:[Client Type]],3,TRUE)</f>
        <v>Mivida BP#189</v>
      </c>
      <c r="J379" t="str">
        <f>VLOOKUP(G379,Table4[[#All],[Cost Center]:[Client Type]],5,TRUE)</f>
        <v>Osama Mezayn</v>
      </c>
    </row>
    <row r="380" spans="6:10" x14ac:dyDescent="0.25">
      <c r="F380" t="s">
        <v>105</v>
      </c>
      <c r="G380" s="7" cm="1">
        <f t="array" ref="G380">INT(planned(F380))</f>
        <v>170</v>
      </c>
      <c r="H380">
        <f>VLOOKUP(G380,Table4[[#All],[Cost Center]:[Client Type]],2,TRUE)</f>
        <v>113</v>
      </c>
      <c r="I380" t="str">
        <f>VLOOKUP(G380,Table4[[#All],[Cost Center]:[Client Type]],3,TRUE)</f>
        <v>Mivida BP#189</v>
      </c>
      <c r="J380" t="str">
        <f>VLOOKUP(G380,Table4[[#All],[Cost Center]:[Client Type]],5,TRUE)</f>
        <v>Osama Mezayn</v>
      </c>
    </row>
    <row r="381" spans="6:10" x14ac:dyDescent="0.25">
      <c r="F381" t="s">
        <v>105</v>
      </c>
      <c r="G381" s="7" cm="1">
        <f t="array" ref="G381">INT(planned(F381))</f>
        <v>170</v>
      </c>
      <c r="H381">
        <f>VLOOKUP(G381,Table4[[#All],[Cost Center]:[Client Type]],2,TRUE)</f>
        <v>113</v>
      </c>
      <c r="I381" t="str">
        <f>VLOOKUP(G381,Table4[[#All],[Cost Center]:[Client Type]],3,TRUE)</f>
        <v>Mivida BP#189</v>
      </c>
      <c r="J381" t="str">
        <f>VLOOKUP(G381,Table4[[#All],[Cost Center]:[Client Type]],5,TRUE)</f>
        <v>Osama Mezayn</v>
      </c>
    </row>
    <row r="382" spans="6:10" x14ac:dyDescent="0.25">
      <c r="F382" t="s">
        <v>105</v>
      </c>
      <c r="G382" s="7" cm="1">
        <f t="array" ref="G382">INT(planned(F382))</f>
        <v>170</v>
      </c>
      <c r="H382">
        <f>VLOOKUP(G382,Table4[[#All],[Cost Center]:[Client Type]],2,TRUE)</f>
        <v>113</v>
      </c>
      <c r="I382" t="str">
        <f>VLOOKUP(G382,Table4[[#All],[Cost Center]:[Client Type]],3,TRUE)</f>
        <v>Mivida BP#189</v>
      </c>
      <c r="J382" t="str">
        <f>VLOOKUP(G382,Table4[[#All],[Cost Center]:[Client Type]],5,TRUE)</f>
        <v>Osama Mezayn</v>
      </c>
    </row>
    <row r="383" spans="6:10" x14ac:dyDescent="0.25">
      <c r="F383" t="s">
        <v>105</v>
      </c>
      <c r="G383" s="7" cm="1">
        <f t="array" ref="G383">INT(planned(F383))</f>
        <v>170</v>
      </c>
      <c r="H383">
        <f>VLOOKUP(G383,Table4[[#All],[Cost Center]:[Client Type]],2,TRUE)</f>
        <v>113</v>
      </c>
      <c r="I383" t="str">
        <f>VLOOKUP(G383,Table4[[#All],[Cost Center]:[Client Type]],3,TRUE)</f>
        <v>Mivida BP#189</v>
      </c>
      <c r="J383" t="str">
        <f>VLOOKUP(G383,Table4[[#All],[Cost Center]:[Client Type]],5,TRUE)</f>
        <v>Osama Mezayn</v>
      </c>
    </row>
    <row r="384" spans="6:10" x14ac:dyDescent="0.25">
      <c r="F384" t="s">
        <v>105</v>
      </c>
      <c r="G384" s="7" cm="1">
        <f t="array" ref="G384">INT(planned(F384))</f>
        <v>170</v>
      </c>
      <c r="H384">
        <f>VLOOKUP(G384,Table4[[#All],[Cost Center]:[Client Type]],2,TRUE)</f>
        <v>113</v>
      </c>
      <c r="I384" t="str">
        <f>VLOOKUP(G384,Table4[[#All],[Cost Center]:[Client Type]],3,TRUE)</f>
        <v>Mivida BP#189</v>
      </c>
      <c r="J384" t="str">
        <f>VLOOKUP(G384,Table4[[#All],[Cost Center]:[Client Type]],5,TRUE)</f>
        <v>Osama Mezayn</v>
      </c>
    </row>
    <row r="385" spans="6:10" x14ac:dyDescent="0.25">
      <c r="F385" t="s">
        <v>105</v>
      </c>
      <c r="G385" s="7" cm="1">
        <f t="array" ref="G385">INT(planned(F385))</f>
        <v>170</v>
      </c>
      <c r="H385">
        <f>VLOOKUP(G385,Table4[[#All],[Cost Center]:[Client Type]],2,TRUE)</f>
        <v>113</v>
      </c>
      <c r="I385" t="str">
        <f>VLOOKUP(G385,Table4[[#All],[Cost Center]:[Client Type]],3,TRUE)</f>
        <v>Mivida BP#189</v>
      </c>
      <c r="J385" t="str">
        <f>VLOOKUP(G385,Table4[[#All],[Cost Center]:[Client Type]],5,TRUE)</f>
        <v>Osama Mezayn</v>
      </c>
    </row>
    <row r="386" spans="6:10" x14ac:dyDescent="0.25">
      <c r="F386" t="s">
        <v>105</v>
      </c>
      <c r="G386" s="7" cm="1">
        <f t="array" ref="G386">INT(planned(F386))</f>
        <v>170</v>
      </c>
      <c r="H386">
        <f>VLOOKUP(G386,Table4[[#All],[Cost Center]:[Client Type]],2,TRUE)</f>
        <v>113</v>
      </c>
      <c r="I386" t="str">
        <f>VLOOKUP(G386,Table4[[#All],[Cost Center]:[Client Type]],3,TRUE)</f>
        <v>Mivida BP#189</v>
      </c>
      <c r="J386" t="str">
        <f>VLOOKUP(G386,Table4[[#All],[Cost Center]:[Client Type]],5,TRUE)</f>
        <v>Osama Mezayn</v>
      </c>
    </row>
    <row r="387" spans="6:10" x14ac:dyDescent="0.25">
      <c r="F387" t="s">
        <v>105</v>
      </c>
      <c r="G387" s="7" cm="1">
        <f t="array" ref="G387">INT(planned(F387))</f>
        <v>170</v>
      </c>
      <c r="H387">
        <f>VLOOKUP(G387,Table4[[#All],[Cost Center]:[Client Type]],2,TRUE)</f>
        <v>113</v>
      </c>
      <c r="I387" t="str">
        <f>VLOOKUP(G387,Table4[[#All],[Cost Center]:[Client Type]],3,TRUE)</f>
        <v>Mivida BP#189</v>
      </c>
      <c r="J387" t="str">
        <f>VLOOKUP(G387,Table4[[#All],[Cost Center]:[Client Type]],5,TRUE)</f>
        <v>Osama Mezayn</v>
      </c>
    </row>
    <row r="388" spans="6:10" x14ac:dyDescent="0.25">
      <c r="F388" t="s">
        <v>105</v>
      </c>
      <c r="G388" s="7" cm="1">
        <f t="array" ref="G388">INT(planned(F388))</f>
        <v>170</v>
      </c>
      <c r="H388">
        <f>VLOOKUP(G388,Table4[[#All],[Cost Center]:[Client Type]],2,TRUE)</f>
        <v>113</v>
      </c>
      <c r="I388" t="str">
        <f>VLOOKUP(G388,Table4[[#All],[Cost Center]:[Client Type]],3,TRUE)</f>
        <v>Mivida BP#189</v>
      </c>
      <c r="J388" t="str">
        <f>VLOOKUP(G388,Table4[[#All],[Cost Center]:[Client Type]],5,TRUE)</f>
        <v>Osama Mezayn</v>
      </c>
    </row>
    <row r="389" spans="6:10" x14ac:dyDescent="0.25">
      <c r="F389" t="s">
        <v>105</v>
      </c>
      <c r="G389" s="7" cm="1">
        <f t="array" ref="G389">INT(planned(F389))</f>
        <v>170</v>
      </c>
      <c r="H389">
        <f>VLOOKUP(G389,Table4[[#All],[Cost Center]:[Client Type]],2,TRUE)</f>
        <v>113</v>
      </c>
      <c r="I389" t="str">
        <f>VLOOKUP(G389,Table4[[#All],[Cost Center]:[Client Type]],3,TRUE)</f>
        <v>Mivida BP#189</v>
      </c>
      <c r="J389" t="str">
        <f>VLOOKUP(G389,Table4[[#All],[Cost Center]:[Client Type]],5,TRUE)</f>
        <v>Osama Mezayn</v>
      </c>
    </row>
    <row r="390" spans="6:10" x14ac:dyDescent="0.25">
      <c r="F390" t="s">
        <v>105</v>
      </c>
      <c r="G390" s="7" cm="1">
        <f t="array" ref="G390">INT(planned(F390))</f>
        <v>170</v>
      </c>
      <c r="H390">
        <f>VLOOKUP(G390,Table4[[#All],[Cost Center]:[Client Type]],2,TRUE)</f>
        <v>113</v>
      </c>
      <c r="I390" t="str">
        <f>VLOOKUP(G390,Table4[[#All],[Cost Center]:[Client Type]],3,TRUE)</f>
        <v>Mivida BP#189</v>
      </c>
      <c r="J390" t="str">
        <f>VLOOKUP(G390,Table4[[#All],[Cost Center]:[Client Type]],5,TRUE)</f>
        <v>Osama Mezayn</v>
      </c>
    </row>
    <row r="391" spans="6:10" x14ac:dyDescent="0.25">
      <c r="F391" t="s">
        <v>105</v>
      </c>
      <c r="G391" s="7" cm="1">
        <f t="array" ref="G391">INT(planned(F391))</f>
        <v>170</v>
      </c>
      <c r="H391">
        <f>VLOOKUP(G391,Table4[[#All],[Cost Center]:[Client Type]],2,TRUE)</f>
        <v>113</v>
      </c>
      <c r="I391" t="str">
        <f>VLOOKUP(G391,Table4[[#All],[Cost Center]:[Client Type]],3,TRUE)</f>
        <v>Mivida BP#189</v>
      </c>
      <c r="J391" t="str">
        <f>VLOOKUP(G391,Table4[[#All],[Cost Center]:[Client Type]],5,TRUE)</f>
        <v>Osama Mezayn</v>
      </c>
    </row>
    <row r="392" spans="6:10" x14ac:dyDescent="0.25">
      <c r="F392" t="s">
        <v>105</v>
      </c>
      <c r="G392" s="7" cm="1">
        <f t="array" ref="G392">INT(planned(F392))</f>
        <v>170</v>
      </c>
      <c r="H392">
        <f>VLOOKUP(G392,Table4[[#All],[Cost Center]:[Client Type]],2,TRUE)</f>
        <v>113</v>
      </c>
      <c r="I392" t="str">
        <f>VLOOKUP(G392,Table4[[#All],[Cost Center]:[Client Type]],3,TRUE)</f>
        <v>Mivida BP#189</v>
      </c>
      <c r="J392" t="str">
        <f>VLOOKUP(G392,Table4[[#All],[Cost Center]:[Client Type]],5,TRUE)</f>
        <v>Osama Mezayn</v>
      </c>
    </row>
    <row r="393" spans="6:10" x14ac:dyDescent="0.25">
      <c r="F393" t="s">
        <v>105</v>
      </c>
      <c r="G393" s="7" cm="1">
        <f t="array" ref="G393">INT(planned(F393))</f>
        <v>170</v>
      </c>
      <c r="H393">
        <f>VLOOKUP(G393,Table4[[#All],[Cost Center]:[Client Type]],2,TRUE)</f>
        <v>113</v>
      </c>
      <c r="I393" t="str">
        <f>VLOOKUP(G393,Table4[[#All],[Cost Center]:[Client Type]],3,TRUE)</f>
        <v>Mivida BP#189</v>
      </c>
      <c r="J393" t="str">
        <f>VLOOKUP(G393,Table4[[#All],[Cost Center]:[Client Type]],5,TRUE)</f>
        <v>Osama Mezayn</v>
      </c>
    </row>
    <row r="394" spans="6:10" x14ac:dyDescent="0.25">
      <c r="F394" t="s">
        <v>105</v>
      </c>
      <c r="G394" s="7" cm="1">
        <f t="array" ref="G394">INT(planned(F394))</f>
        <v>170</v>
      </c>
      <c r="H394">
        <f>VLOOKUP(G394,Table4[[#All],[Cost Center]:[Client Type]],2,TRUE)</f>
        <v>113</v>
      </c>
      <c r="I394" t="str">
        <f>VLOOKUP(G394,Table4[[#All],[Cost Center]:[Client Type]],3,TRUE)</f>
        <v>Mivida BP#189</v>
      </c>
      <c r="J394" t="str">
        <f>VLOOKUP(G394,Table4[[#All],[Cost Center]:[Client Type]],5,TRUE)</f>
        <v>Osama Mezayn</v>
      </c>
    </row>
    <row r="395" spans="6:10" x14ac:dyDescent="0.25">
      <c r="F395" t="s">
        <v>105</v>
      </c>
      <c r="G395" s="7" cm="1">
        <f t="array" ref="G395">INT(planned(F395))</f>
        <v>170</v>
      </c>
      <c r="H395">
        <f>VLOOKUP(G395,Table4[[#All],[Cost Center]:[Client Type]],2,TRUE)</f>
        <v>113</v>
      </c>
      <c r="I395" t="str">
        <f>VLOOKUP(G395,Table4[[#All],[Cost Center]:[Client Type]],3,TRUE)</f>
        <v>Mivida BP#189</v>
      </c>
      <c r="J395" t="str">
        <f>VLOOKUP(G395,Table4[[#All],[Cost Center]:[Client Type]],5,TRUE)</f>
        <v>Osama Mezayn</v>
      </c>
    </row>
    <row r="396" spans="6:10" x14ac:dyDescent="0.25">
      <c r="F396" t="s">
        <v>105</v>
      </c>
      <c r="G396" s="7" cm="1">
        <f t="array" ref="G396">INT(planned(F396))</f>
        <v>170</v>
      </c>
      <c r="H396">
        <f>VLOOKUP(G396,Table4[[#All],[Cost Center]:[Client Type]],2,TRUE)</f>
        <v>113</v>
      </c>
      <c r="I396" t="str">
        <f>VLOOKUP(G396,Table4[[#All],[Cost Center]:[Client Type]],3,TRUE)</f>
        <v>Mivida BP#189</v>
      </c>
      <c r="J396" t="str">
        <f>VLOOKUP(G396,Table4[[#All],[Cost Center]:[Client Type]],5,TRUE)</f>
        <v>Osama Mezayn</v>
      </c>
    </row>
    <row r="397" spans="6:10" x14ac:dyDescent="0.25">
      <c r="F397" t="s">
        <v>105</v>
      </c>
      <c r="G397" s="7" cm="1">
        <f t="array" ref="G397">INT(planned(F397))</f>
        <v>170</v>
      </c>
      <c r="H397">
        <f>VLOOKUP(G397,Table4[[#All],[Cost Center]:[Client Type]],2,TRUE)</f>
        <v>113</v>
      </c>
      <c r="I397" t="str">
        <f>VLOOKUP(G397,Table4[[#All],[Cost Center]:[Client Type]],3,TRUE)</f>
        <v>Mivida BP#189</v>
      </c>
      <c r="J397" t="str">
        <f>VLOOKUP(G397,Table4[[#All],[Cost Center]:[Client Type]],5,TRUE)</f>
        <v>Osama Mezayn</v>
      </c>
    </row>
    <row r="398" spans="6:10" x14ac:dyDescent="0.25">
      <c r="F398" t="s">
        <v>105</v>
      </c>
      <c r="G398" s="7" cm="1">
        <f t="array" ref="G398">INT(planned(F398))</f>
        <v>170</v>
      </c>
      <c r="H398">
        <f>VLOOKUP(G398,Table4[[#All],[Cost Center]:[Client Type]],2,TRUE)</f>
        <v>113</v>
      </c>
      <c r="I398" t="str">
        <f>VLOOKUP(G398,Table4[[#All],[Cost Center]:[Client Type]],3,TRUE)</f>
        <v>Mivida BP#189</v>
      </c>
      <c r="J398" t="str">
        <f>VLOOKUP(G398,Table4[[#All],[Cost Center]:[Client Type]],5,TRUE)</f>
        <v>Osama Mezayn</v>
      </c>
    </row>
    <row r="399" spans="6:10" x14ac:dyDescent="0.25">
      <c r="F399" t="s">
        <v>105</v>
      </c>
      <c r="G399" s="7" cm="1">
        <f t="array" ref="G399">INT(planned(F399))</f>
        <v>170</v>
      </c>
      <c r="H399">
        <f>VLOOKUP(G399,Table4[[#All],[Cost Center]:[Client Type]],2,TRUE)</f>
        <v>113</v>
      </c>
      <c r="I399" t="str">
        <f>VLOOKUP(G399,Table4[[#All],[Cost Center]:[Client Type]],3,TRUE)</f>
        <v>Mivida BP#189</v>
      </c>
      <c r="J399" t="str">
        <f>VLOOKUP(G399,Table4[[#All],[Cost Center]:[Client Type]],5,TRUE)</f>
        <v>Osama Mezayn</v>
      </c>
    </row>
    <row r="400" spans="6:10" x14ac:dyDescent="0.25">
      <c r="F400" t="s">
        <v>105</v>
      </c>
      <c r="G400" s="7" cm="1">
        <f t="array" ref="G400">INT(planned(F400))</f>
        <v>170</v>
      </c>
      <c r="H400">
        <f>VLOOKUP(G400,Table4[[#All],[Cost Center]:[Client Type]],2,TRUE)</f>
        <v>113</v>
      </c>
      <c r="I400" t="str">
        <f>VLOOKUP(G400,Table4[[#All],[Cost Center]:[Client Type]],3,TRUE)</f>
        <v>Mivida BP#189</v>
      </c>
      <c r="J400" t="str">
        <f>VLOOKUP(G400,Table4[[#All],[Cost Center]:[Client Type]],5,TRUE)</f>
        <v>Osama Mezayn</v>
      </c>
    </row>
    <row r="401" spans="6:10" x14ac:dyDescent="0.25">
      <c r="F401" t="s">
        <v>105</v>
      </c>
      <c r="G401" s="7" cm="1">
        <f t="array" ref="G401">INT(planned(F401))</f>
        <v>170</v>
      </c>
      <c r="H401">
        <f>VLOOKUP(G401,Table4[[#All],[Cost Center]:[Client Type]],2,TRUE)</f>
        <v>113</v>
      </c>
      <c r="I401" t="str">
        <f>VLOOKUP(G401,Table4[[#All],[Cost Center]:[Client Type]],3,TRUE)</f>
        <v>Mivida BP#189</v>
      </c>
      <c r="J401" t="str">
        <f>VLOOKUP(G401,Table4[[#All],[Cost Center]:[Client Type]],5,TRUE)</f>
        <v>Osama Mezayn</v>
      </c>
    </row>
    <row r="402" spans="6:10" x14ac:dyDescent="0.25">
      <c r="F402" t="s">
        <v>105</v>
      </c>
      <c r="G402" s="7" cm="1">
        <f t="array" ref="G402">INT(planned(F402))</f>
        <v>170</v>
      </c>
      <c r="H402">
        <f>VLOOKUP(G402,Table4[[#All],[Cost Center]:[Client Type]],2,TRUE)</f>
        <v>113</v>
      </c>
      <c r="I402" t="str">
        <f>VLOOKUP(G402,Table4[[#All],[Cost Center]:[Client Type]],3,TRUE)</f>
        <v>Mivida BP#189</v>
      </c>
      <c r="J402" t="str">
        <f>VLOOKUP(G402,Table4[[#All],[Cost Center]:[Client Type]],5,TRUE)</f>
        <v>Osama Mezayn</v>
      </c>
    </row>
    <row r="403" spans="6:10" x14ac:dyDescent="0.25">
      <c r="F403" t="s">
        <v>105</v>
      </c>
      <c r="G403" s="7" cm="1">
        <f t="array" ref="G403">INT(planned(F403))</f>
        <v>170</v>
      </c>
      <c r="H403">
        <f>VLOOKUP(G403,Table4[[#All],[Cost Center]:[Client Type]],2,TRUE)</f>
        <v>113</v>
      </c>
      <c r="I403" t="str">
        <f>VLOOKUP(G403,Table4[[#All],[Cost Center]:[Client Type]],3,TRUE)</f>
        <v>Mivida BP#189</v>
      </c>
      <c r="J403" t="str">
        <f>VLOOKUP(G403,Table4[[#All],[Cost Center]:[Client Type]],5,TRUE)</f>
        <v>Osama Mezayn</v>
      </c>
    </row>
    <row r="404" spans="6:10" x14ac:dyDescent="0.25">
      <c r="F404" t="s">
        <v>105</v>
      </c>
      <c r="G404" s="7" cm="1">
        <f t="array" ref="G404">INT(planned(F404))</f>
        <v>170</v>
      </c>
      <c r="H404">
        <f>VLOOKUP(G404,Table4[[#All],[Cost Center]:[Client Type]],2,TRUE)</f>
        <v>113</v>
      </c>
      <c r="I404" t="str">
        <f>VLOOKUP(G404,Table4[[#All],[Cost Center]:[Client Type]],3,TRUE)</f>
        <v>Mivida BP#189</v>
      </c>
      <c r="J404" t="str">
        <f>VLOOKUP(G404,Table4[[#All],[Cost Center]:[Client Type]],5,TRUE)</f>
        <v>Osama Mezayn</v>
      </c>
    </row>
    <row r="405" spans="6:10" x14ac:dyDescent="0.25">
      <c r="F405" t="s">
        <v>105</v>
      </c>
      <c r="G405" s="7" cm="1">
        <f t="array" ref="G405">INT(planned(F405))</f>
        <v>170</v>
      </c>
      <c r="H405">
        <f>VLOOKUP(G405,Table4[[#All],[Cost Center]:[Client Type]],2,TRUE)</f>
        <v>113</v>
      </c>
      <c r="I405" t="str">
        <f>VLOOKUP(G405,Table4[[#All],[Cost Center]:[Client Type]],3,TRUE)</f>
        <v>Mivida BP#189</v>
      </c>
      <c r="J405" t="str">
        <f>VLOOKUP(G405,Table4[[#All],[Cost Center]:[Client Type]],5,TRUE)</f>
        <v>Osama Mezayn</v>
      </c>
    </row>
    <row r="406" spans="6:10" x14ac:dyDescent="0.25">
      <c r="F406" t="s">
        <v>105</v>
      </c>
      <c r="G406" s="7" cm="1">
        <f t="array" ref="G406">INT(planned(F406))</f>
        <v>170</v>
      </c>
      <c r="H406">
        <f>VLOOKUP(G406,Table4[[#All],[Cost Center]:[Client Type]],2,TRUE)</f>
        <v>113</v>
      </c>
      <c r="I406" t="str">
        <f>VLOOKUP(G406,Table4[[#All],[Cost Center]:[Client Type]],3,TRUE)</f>
        <v>Mivida BP#189</v>
      </c>
      <c r="J406" t="str">
        <f>VLOOKUP(G406,Table4[[#All],[Cost Center]:[Client Type]],5,TRUE)</f>
        <v>Osama Mezayn</v>
      </c>
    </row>
    <row r="407" spans="6:10" x14ac:dyDescent="0.25">
      <c r="F407" t="s">
        <v>105</v>
      </c>
      <c r="G407" s="7" cm="1">
        <f t="array" ref="G407">INT(planned(F407))</f>
        <v>170</v>
      </c>
      <c r="H407">
        <f>VLOOKUP(G407,Table4[[#All],[Cost Center]:[Client Type]],2,TRUE)</f>
        <v>113</v>
      </c>
      <c r="I407" t="str">
        <f>VLOOKUP(G407,Table4[[#All],[Cost Center]:[Client Type]],3,TRUE)</f>
        <v>Mivida BP#189</v>
      </c>
      <c r="J407" t="str">
        <f>VLOOKUP(G407,Table4[[#All],[Cost Center]:[Client Type]],5,TRUE)</f>
        <v>Osama Mezayn</v>
      </c>
    </row>
    <row r="408" spans="6:10" x14ac:dyDescent="0.25">
      <c r="F408" t="s">
        <v>105</v>
      </c>
      <c r="G408" s="7" cm="1">
        <f t="array" ref="G408">INT(planned(F408))</f>
        <v>170</v>
      </c>
      <c r="H408">
        <f>VLOOKUP(G408,Table4[[#All],[Cost Center]:[Client Type]],2,TRUE)</f>
        <v>113</v>
      </c>
      <c r="I408" t="str">
        <f>VLOOKUP(G408,Table4[[#All],[Cost Center]:[Client Type]],3,TRUE)</f>
        <v>Mivida BP#189</v>
      </c>
      <c r="J408" t="str">
        <f>VLOOKUP(G408,Table4[[#All],[Cost Center]:[Client Type]],5,TRUE)</f>
        <v>Osama Mezayn</v>
      </c>
    </row>
    <row r="409" spans="6:10" x14ac:dyDescent="0.25">
      <c r="F409" t="s">
        <v>105</v>
      </c>
      <c r="G409" s="7" cm="1">
        <f t="array" ref="G409">INT(planned(F409))</f>
        <v>170</v>
      </c>
      <c r="H409">
        <f>VLOOKUP(G409,Table4[[#All],[Cost Center]:[Client Type]],2,TRUE)</f>
        <v>113</v>
      </c>
      <c r="I409" t="str">
        <f>VLOOKUP(G409,Table4[[#All],[Cost Center]:[Client Type]],3,TRUE)</f>
        <v>Mivida BP#189</v>
      </c>
      <c r="J409" t="str">
        <f>VLOOKUP(G409,Table4[[#All],[Cost Center]:[Client Type]],5,TRUE)</f>
        <v>Osama Mezayn</v>
      </c>
    </row>
    <row r="410" spans="6:10" x14ac:dyDescent="0.25">
      <c r="F410" t="s">
        <v>105</v>
      </c>
      <c r="G410" s="7" cm="1">
        <f t="array" ref="G410">INT(planned(F410))</f>
        <v>170</v>
      </c>
      <c r="H410">
        <f>VLOOKUP(G410,Table4[[#All],[Cost Center]:[Client Type]],2,TRUE)</f>
        <v>113</v>
      </c>
      <c r="I410" t="str">
        <f>VLOOKUP(G410,Table4[[#All],[Cost Center]:[Client Type]],3,TRUE)</f>
        <v>Mivida BP#189</v>
      </c>
      <c r="J410" t="str">
        <f>VLOOKUP(G410,Table4[[#All],[Cost Center]:[Client Type]],5,TRUE)</f>
        <v>Osama Mezayn</v>
      </c>
    </row>
    <row r="411" spans="6:10" x14ac:dyDescent="0.25">
      <c r="F411" t="s">
        <v>105</v>
      </c>
      <c r="G411" s="7" cm="1">
        <f t="array" ref="G411">INT(planned(F411))</f>
        <v>170</v>
      </c>
      <c r="H411">
        <f>VLOOKUP(G411,Table4[[#All],[Cost Center]:[Client Type]],2,TRUE)</f>
        <v>113</v>
      </c>
      <c r="I411" t="str">
        <f>VLOOKUP(G411,Table4[[#All],[Cost Center]:[Client Type]],3,TRUE)</f>
        <v>Mivida BP#189</v>
      </c>
      <c r="J411" t="str">
        <f>VLOOKUP(G411,Table4[[#All],[Cost Center]:[Client Type]],5,TRUE)</f>
        <v>Osama Mezayn</v>
      </c>
    </row>
    <row r="412" spans="6:10" x14ac:dyDescent="0.25">
      <c r="F412" t="s">
        <v>105</v>
      </c>
      <c r="G412" s="7" cm="1">
        <f t="array" ref="G412">INT(planned(F412))</f>
        <v>170</v>
      </c>
      <c r="H412">
        <f>VLOOKUP(G412,Table4[[#All],[Cost Center]:[Client Type]],2,TRUE)</f>
        <v>113</v>
      </c>
      <c r="I412" t="str">
        <f>VLOOKUP(G412,Table4[[#All],[Cost Center]:[Client Type]],3,TRUE)</f>
        <v>Mivida BP#189</v>
      </c>
      <c r="J412" t="str">
        <f>VLOOKUP(G412,Table4[[#All],[Cost Center]:[Client Type]],5,TRUE)</f>
        <v>Osama Mezayn</v>
      </c>
    </row>
    <row r="413" spans="6:10" x14ac:dyDescent="0.25">
      <c r="F413" t="s">
        <v>105</v>
      </c>
      <c r="G413" s="7" cm="1">
        <f t="array" ref="G413">INT(planned(F413))</f>
        <v>170</v>
      </c>
      <c r="H413">
        <f>VLOOKUP(G413,Table4[[#All],[Cost Center]:[Client Type]],2,TRUE)</f>
        <v>113</v>
      </c>
      <c r="I413" t="str">
        <f>VLOOKUP(G413,Table4[[#All],[Cost Center]:[Client Type]],3,TRUE)</f>
        <v>Mivida BP#189</v>
      </c>
      <c r="J413" t="str">
        <f>VLOOKUP(G413,Table4[[#All],[Cost Center]:[Client Type]],5,TRUE)</f>
        <v>Osama Mezayn</v>
      </c>
    </row>
    <row r="414" spans="6:10" x14ac:dyDescent="0.25">
      <c r="F414" t="s">
        <v>105</v>
      </c>
      <c r="G414" s="7" cm="1">
        <f t="array" ref="G414">INT(planned(F414))</f>
        <v>170</v>
      </c>
      <c r="H414">
        <f>VLOOKUP(G414,Table4[[#All],[Cost Center]:[Client Type]],2,TRUE)</f>
        <v>113</v>
      </c>
      <c r="I414" t="str">
        <f>VLOOKUP(G414,Table4[[#All],[Cost Center]:[Client Type]],3,TRUE)</f>
        <v>Mivida BP#189</v>
      </c>
      <c r="J414" t="str">
        <f>VLOOKUP(G414,Table4[[#All],[Cost Center]:[Client Type]],5,TRUE)</f>
        <v>Osama Mezayn</v>
      </c>
    </row>
    <row r="415" spans="6:10" x14ac:dyDescent="0.25">
      <c r="F415" t="s">
        <v>111</v>
      </c>
      <c r="G415" s="7" cm="1">
        <f t="array" ref="G415">INT(planned(F415))</f>
        <v>137</v>
      </c>
      <c r="H415">
        <f>VLOOKUP(G415,Table4[[#All],[Cost Center]:[Client Type]],2,TRUE)</f>
        <v>1</v>
      </c>
      <c r="I415" t="str">
        <f>VLOOKUP(G415,Table4[[#All],[Cost Center]:[Client Type]],3,TRUE)</f>
        <v>ORA Zed PKGs A &amp; D</v>
      </c>
      <c r="J415" t="str">
        <f>VLOOKUP(G415,Table4[[#All],[Cost Center]:[Client Type]],5,TRUE)</f>
        <v>Osama Mezayn</v>
      </c>
    </row>
    <row r="416" spans="6:10" x14ac:dyDescent="0.25">
      <c r="F416" t="s">
        <v>111</v>
      </c>
      <c r="G416" s="7" cm="1">
        <f t="array" ref="G416">INT(planned(F416))</f>
        <v>137</v>
      </c>
      <c r="H416">
        <f>VLOOKUP(G416,Table4[[#All],[Cost Center]:[Client Type]],2,TRUE)</f>
        <v>1</v>
      </c>
      <c r="I416" t="str">
        <f>VLOOKUP(G416,Table4[[#All],[Cost Center]:[Client Type]],3,TRUE)</f>
        <v>ORA Zed PKGs A &amp; D</v>
      </c>
      <c r="J416" t="str">
        <f>VLOOKUP(G416,Table4[[#All],[Cost Center]:[Client Type]],5,TRUE)</f>
        <v>Osama Mezayn</v>
      </c>
    </row>
    <row r="417" spans="6:10" x14ac:dyDescent="0.25">
      <c r="F417" t="s">
        <v>111</v>
      </c>
      <c r="G417" s="7" cm="1">
        <f t="array" ref="G417">INT(planned(F417))</f>
        <v>137</v>
      </c>
      <c r="H417">
        <f>VLOOKUP(G417,Table4[[#All],[Cost Center]:[Client Type]],2,TRUE)</f>
        <v>1</v>
      </c>
      <c r="I417" t="str">
        <f>VLOOKUP(G417,Table4[[#All],[Cost Center]:[Client Type]],3,TRUE)</f>
        <v>ORA Zed PKGs A &amp; D</v>
      </c>
      <c r="J417" t="str">
        <f>VLOOKUP(G417,Table4[[#All],[Cost Center]:[Client Type]],5,TRUE)</f>
        <v>Osama Mezayn</v>
      </c>
    </row>
    <row r="418" spans="6:10" x14ac:dyDescent="0.25">
      <c r="F418" t="s">
        <v>111</v>
      </c>
      <c r="G418" s="7" cm="1">
        <f t="array" ref="G418">INT(planned(F418))</f>
        <v>137</v>
      </c>
      <c r="H418">
        <f>VLOOKUP(G418,Table4[[#All],[Cost Center]:[Client Type]],2,TRUE)</f>
        <v>1</v>
      </c>
      <c r="I418" t="str">
        <f>VLOOKUP(G418,Table4[[#All],[Cost Center]:[Client Type]],3,TRUE)</f>
        <v>ORA Zed PKGs A &amp; D</v>
      </c>
      <c r="J418" t="str">
        <f>VLOOKUP(G418,Table4[[#All],[Cost Center]:[Client Type]],5,TRUE)</f>
        <v>Osama Mezayn</v>
      </c>
    </row>
    <row r="419" spans="6:10" x14ac:dyDescent="0.25">
      <c r="F419" t="s">
        <v>111</v>
      </c>
      <c r="G419" s="7" cm="1">
        <f t="array" ref="G419">INT(planned(F419))</f>
        <v>137</v>
      </c>
      <c r="H419">
        <f>VLOOKUP(G419,Table4[[#All],[Cost Center]:[Client Type]],2,TRUE)</f>
        <v>1</v>
      </c>
      <c r="I419" t="str">
        <f>VLOOKUP(G419,Table4[[#All],[Cost Center]:[Client Type]],3,TRUE)</f>
        <v>ORA Zed PKGs A &amp; D</v>
      </c>
      <c r="J419" t="str">
        <f>VLOOKUP(G419,Table4[[#All],[Cost Center]:[Client Type]],5,TRUE)</f>
        <v>Osama Mezayn</v>
      </c>
    </row>
    <row r="420" spans="6:10" x14ac:dyDescent="0.25">
      <c r="F420" t="s">
        <v>111</v>
      </c>
      <c r="G420" s="7" cm="1">
        <f t="array" ref="G420">INT(planned(F420))</f>
        <v>137</v>
      </c>
      <c r="H420">
        <f>VLOOKUP(G420,Table4[[#All],[Cost Center]:[Client Type]],2,TRUE)</f>
        <v>1</v>
      </c>
      <c r="I420" t="str">
        <f>VLOOKUP(G420,Table4[[#All],[Cost Center]:[Client Type]],3,TRUE)</f>
        <v>ORA Zed PKGs A &amp; D</v>
      </c>
      <c r="J420" t="str">
        <f>VLOOKUP(G420,Table4[[#All],[Cost Center]:[Client Type]],5,TRUE)</f>
        <v>Osama Mezayn</v>
      </c>
    </row>
    <row r="421" spans="6:10" x14ac:dyDescent="0.25">
      <c r="F421" t="s">
        <v>111</v>
      </c>
      <c r="G421" s="7" cm="1">
        <f t="array" ref="G421">INT(planned(F421))</f>
        <v>137</v>
      </c>
      <c r="H421">
        <f>VLOOKUP(G421,Table4[[#All],[Cost Center]:[Client Type]],2,TRUE)</f>
        <v>1</v>
      </c>
      <c r="I421" t="str">
        <f>VLOOKUP(G421,Table4[[#All],[Cost Center]:[Client Type]],3,TRUE)</f>
        <v>ORA Zed PKGs A &amp; D</v>
      </c>
      <c r="J421" t="str">
        <f>VLOOKUP(G421,Table4[[#All],[Cost Center]:[Client Type]],5,TRUE)</f>
        <v>Osama Mezayn</v>
      </c>
    </row>
    <row r="422" spans="6:10" x14ac:dyDescent="0.25">
      <c r="F422" t="s">
        <v>111</v>
      </c>
      <c r="G422" s="7" cm="1">
        <f t="array" ref="G422">INT(planned(F422))</f>
        <v>137</v>
      </c>
      <c r="H422">
        <f>VLOOKUP(G422,Table4[[#All],[Cost Center]:[Client Type]],2,TRUE)</f>
        <v>1</v>
      </c>
      <c r="I422" t="str">
        <f>VLOOKUP(G422,Table4[[#All],[Cost Center]:[Client Type]],3,TRUE)</f>
        <v>ORA Zed PKGs A &amp; D</v>
      </c>
      <c r="J422" t="str">
        <f>VLOOKUP(G422,Table4[[#All],[Cost Center]:[Client Type]],5,TRUE)</f>
        <v>Osama Mezayn</v>
      </c>
    </row>
    <row r="423" spans="6:10" x14ac:dyDescent="0.25">
      <c r="F423" t="s">
        <v>111</v>
      </c>
      <c r="G423" s="7" cm="1">
        <f t="array" ref="G423">INT(planned(F423))</f>
        <v>137</v>
      </c>
      <c r="H423">
        <f>VLOOKUP(G423,Table4[[#All],[Cost Center]:[Client Type]],2,TRUE)</f>
        <v>1</v>
      </c>
      <c r="I423" t="str">
        <f>VLOOKUP(G423,Table4[[#All],[Cost Center]:[Client Type]],3,TRUE)</f>
        <v>ORA Zed PKGs A &amp; D</v>
      </c>
      <c r="J423" t="str">
        <f>VLOOKUP(G423,Table4[[#All],[Cost Center]:[Client Type]],5,TRUE)</f>
        <v>Osama Mezayn</v>
      </c>
    </row>
    <row r="424" spans="6:10" x14ac:dyDescent="0.25">
      <c r="F424" t="s">
        <v>111</v>
      </c>
      <c r="G424" s="7" cm="1">
        <f t="array" ref="G424">INT(planned(F424))</f>
        <v>137</v>
      </c>
      <c r="H424">
        <f>VLOOKUP(G424,Table4[[#All],[Cost Center]:[Client Type]],2,TRUE)</f>
        <v>1</v>
      </c>
      <c r="I424" t="str">
        <f>VLOOKUP(G424,Table4[[#All],[Cost Center]:[Client Type]],3,TRUE)</f>
        <v>ORA Zed PKGs A &amp; D</v>
      </c>
      <c r="J424" t="str">
        <f>VLOOKUP(G424,Table4[[#All],[Cost Center]:[Client Type]],5,TRUE)</f>
        <v>Osama Mezayn</v>
      </c>
    </row>
    <row r="425" spans="6:10" x14ac:dyDescent="0.25">
      <c r="F425" t="s">
        <v>111</v>
      </c>
      <c r="G425" s="7" cm="1">
        <f t="array" ref="G425">INT(planned(F425))</f>
        <v>137</v>
      </c>
      <c r="H425">
        <f>VLOOKUP(G425,Table4[[#All],[Cost Center]:[Client Type]],2,TRUE)</f>
        <v>1</v>
      </c>
      <c r="I425" t="str">
        <f>VLOOKUP(G425,Table4[[#All],[Cost Center]:[Client Type]],3,TRUE)</f>
        <v>ORA Zed PKGs A &amp; D</v>
      </c>
      <c r="J425" t="str">
        <f>VLOOKUP(G425,Table4[[#All],[Cost Center]:[Client Type]],5,TRUE)</f>
        <v>Osama Mezayn</v>
      </c>
    </row>
    <row r="426" spans="6:10" x14ac:dyDescent="0.25">
      <c r="F426" t="s">
        <v>111</v>
      </c>
      <c r="G426" s="7" cm="1">
        <f t="array" ref="G426">INT(planned(F426))</f>
        <v>137</v>
      </c>
      <c r="H426">
        <f>VLOOKUP(G426,Table4[[#All],[Cost Center]:[Client Type]],2,TRUE)</f>
        <v>1</v>
      </c>
      <c r="I426" t="str">
        <f>VLOOKUP(G426,Table4[[#All],[Cost Center]:[Client Type]],3,TRUE)</f>
        <v>ORA Zed PKGs A &amp; D</v>
      </c>
      <c r="J426" t="str">
        <f>VLOOKUP(G426,Table4[[#All],[Cost Center]:[Client Type]],5,TRUE)</f>
        <v>Osama Mezayn</v>
      </c>
    </row>
    <row r="427" spans="6:10" x14ac:dyDescent="0.25">
      <c r="F427" t="s">
        <v>111</v>
      </c>
      <c r="G427" s="7" cm="1">
        <f t="array" ref="G427">INT(planned(F427))</f>
        <v>137</v>
      </c>
      <c r="H427">
        <f>VLOOKUP(G427,Table4[[#All],[Cost Center]:[Client Type]],2,TRUE)</f>
        <v>1</v>
      </c>
      <c r="I427" t="str">
        <f>VLOOKUP(G427,Table4[[#All],[Cost Center]:[Client Type]],3,TRUE)</f>
        <v>ORA Zed PKGs A &amp; D</v>
      </c>
      <c r="J427" t="str">
        <f>VLOOKUP(G427,Table4[[#All],[Cost Center]:[Client Type]],5,TRUE)</f>
        <v>Osama Mezayn</v>
      </c>
    </row>
    <row r="428" spans="6:10" x14ac:dyDescent="0.25">
      <c r="F428" t="s">
        <v>111</v>
      </c>
      <c r="G428" s="7" cm="1">
        <f t="array" ref="G428">INT(planned(F428))</f>
        <v>137</v>
      </c>
      <c r="H428">
        <f>VLOOKUP(G428,Table4[[#All],[Cost Center]:[Client Type]],2,TRUE)</f>
        <v>1</v>
      </c>
      <c r="I428" t="str">
        <f>VLOOKUP(G428,Table4[[#All],[Cost Center]:[Client Type]],3,TRUE)</f>
        <v>ORA Zed PKGs A &amp; D</v>
      </c>
      <c r="J428" t="str">
        <f>VLOOKUP(G428,Table4[[#All],[Cost Center]:[Client Type]],5,TRUE)</f>
        <v>Osama Mezayn</v>
      </c>
    </row>
    <row r="429" spans="6:10" x14ac:dyDescent="0.25">
      <c r="F429" t="s">
        <v>111</v>
      </c>
      <c r="G429" s="7" cm="1">
        <f t="array" ref="G429">INT(planned(F429))</f>
        <v>137</v>
      </c>
      <c r="H429">
        <f>VLOOKUP(G429,Table4[[#All],[Cost Center]:[Client Type]],2,TRUE)</f>
        <v>1</v>
      </c>
      <c r="I429" t="str">
        <f>VLOOKUP(G429,Table4[[#All],[Cost Center]:[Client Type]],3,TRUE)</f>
        <v>ORA Zed PKGs A &amp; D</v>
      </c>
      <c r="J429" t="str">
        <f>VLOOKUP(G429,Table4[[#All],[Cost Center]:[Client Type]],5,TRUE)</f>
        <v>Osama Mezayn</v>
      </c>
    </row>
    <row r="430" spans="6:10" x14ac:dyDescent="0.25">
      <c r="F430" t="s">
        <v>111</v>
      </c>
      <c r="G430" s="7" cm="1">
        <f t="array" ref="G430">INT(planned(F430))</f>
        <v>137</v>
      </c>
      <c r="H430">
        <f>VLOOKUP(G430,Table4[[#All],[Cost Center]:[Client Type]],2,TRUE)</f>
        <v>1</v>
      </c>
      <c r="I430" t="str">
        <f>VLOOKUP(G430,Table4[[#All],[Cost Center]:[Client Type]],3,TRUE)</f>
        <v>ORA Zed PKGs A &amp; D</v>
      </c>
      <c r="J430" t="str">
        <f>VLOOKUP(G430,Table4[[#All],[Cost Center]:[Client Type]],5,TRUE)</f>
        <v>Osama Mezayn</v>
      </c>
    </row>
    <row r="431" spans="6:10" x14ac:dyDescent="0.25">
      <c r="F431" t="s">
        <v>111</v>
      </c>
      <c r="G431" s="7" cm="1">
        <f t="array" ref="G431">INT(planned(F431))</f>
        <v>137</v>
      </c>
      <c r="H431">
        <f>VLOOKUP(G431,Table4[[#All],[Cost Center]:[Client Type]],2,TRUE)</f>
        <v>1</v>
      </c>
      <c r="I431" t="str">
        <f>VLOOKUP(G431,Table4[[#All],[Cost Center]:[Client Type]],3,TRUE)</f>
        <v>ORA Zed PKGs A &amp; D</v>
      </c>
      <c r="J431" t="str">
        <f>VLOOKUP(G431,Table4[[#All],[Cost Center]:[Client Type]],5,TRUE)</f>
        <v>Osama Mezayn</v>
      </c>
    </row>
    <row r="432" spans="6:10" x14ac:dyDescent="0.25">
      <c r="F432" t="s">
        <v>111</v>
      </c>
      <c r="G432" s="7" cm="1">
        <f t="array" ref="G432">INT(planned(F432))</f>
        <v>137</v>
      </c>
      <c r="H432">
        <f>VLOOKUP(G432,Table4[[#All],[Cost Center]:[Client Type]],2,TRUE)</f>
        <v>1</v>
      </c>
      <c r="I432" t="str">
        <f>VLOOKUP(G432,Table4[[#All],[Cost Center]:[Client Type]],3,TRUE)</f>
        <v>ORA Zed PKGs A &amp; D</v>
      </c>
      <c r="J432" t="str">
        <f>VLOOKUP(G432,Table4[[#All],[Cost Center]:[Client Type]],5,TRUE)</f>
        <v>Osama Mezayn</v>
      </c>
    </row>
    <row r="433" spans="6:10" x14ac:dyDescent="0.25">
      <c r="F433" t="s">
        <v>111</v>
      </c>
      <c r="G433" s="7" cm="1">
        <f t="array" ref="G433">INT(planned(F433))</f>
        <v>137</v>
      </c>
      <c r="H433">
        <f>VLOOKUP(G433,Table4[[#All],[Cost Center]:[Client Type]],2,TRUE)</f>
        <v>1</v>
      </c>
      <c r="I433" t="str">
        <f>VLOOKUP(G433,Table4[[#All],[Cost Center]:[Client Type]],3,TRUE)</f>
        <v>ORA Zed PKGs A &amp; D</v>
      </c>
      <c r="J433" t="str">
        <f>VLOOKUP(G433,Table4[[#All],[Cost Center]:[Client Type]],5,TRUE)</f>
        <v>Osama Mezayn</v>
      </c>
    </row>
    <row r="434" spans="6:10" x14ac:dyDescent="0.25">
      <c r="F434" t="s">
        <v>111</v>
      </c>
      <c r="G434" s="7" cm="1">
        <f t="array" ref="G434">INT(planned(F434))</f>
        <v>137</v>
      </c>
      <c r="H434">
        <f>VLOOKUP(G434,Table4[[#All],[Cost Center]:[Client Type]],2,TRUE)</f>
        <v>1</v>
      </c>
      <c r="I434" t="str">
        <f>VLOOKUP(G434,Table4[[#All],[Cost Center]:[Client Type]],3,TRUE)</f>
        <v>ORA Zed PKGs A &amp; D</v>
      </c>
      <c r="J434" t="str">
        <f>VLOOKUP(G434,Table4[[#All],[Cost Center]:[Client Type]],5,TRUE)</f>
        <v>Osama Mezayn</v>
      </c>
    </row>
    <row r="435" spans="6:10" x14ac:dyDescent="0.25">
      <c r="F435" t="s">
        <v>111</v>
      </c>
      <c r="G435" s="7" cm="1">
        <f t="array" ref="G435">INT(planned(F435))</f>
        <v>137</v>
      </c>
      <c r="H435">
        <f>VLOOKUP(G435,Table4[[#All],[Cost Center]:[Client Type]],2,TRUE)</f>
        <v>1</v>
      </c>
      <c r="I435" t="str">
        <f>VLOOKUP(G435,Table4[[#All],[Cost Center]:[Client Type]],3,TRUE)</f>
        <v>ORA Zed PKGs A &amp; D</v>
      </c>
      <c r="J435" t="str">
        <f>VLOOKUP(G435,Table4[[#All],[Cost Center]:[Client Type]],5,TRUE)</f>
        <v>Osama Mezayn</v>
      </c>
    </row>
    <row r="436" spans="6:10" x14ac:dyDescent="0.25">
      <c r="F436" t="s">
        <v>111</v>
      </c>
      <c r="G436" s="7" cm="1">
        <f t="array" ref="G436">INT(planned(F436))</f>
        <v>137</v>
      </c>
      <c r="H436">
        <f>VLOOKUP(G436,Table4[[#All],[Cost Center]:[Client Type]],2,TRUE)</f>
        <v>1</v>
      </c>
      <c r="I436" t="str">
        <f>VLOOKUP(G436,Table4[[#All],[Cost Center]:[Client Type]],3,TRUE)</f>
        <v>ORA Zed PKGs A &amp; D</v>
      </c>
      <c r="J436" t="str">
        <f>VLOOKUP(G436,Table4[[#All],[Cost Center]:[Client Type]],5,TRUE)</f>
        <v>Osama Mezayn</v>
      </c>
    </row>
    <row r="437" spans="6:10" x14ac:dyDescent="0.25">
      <c r="F437" t="s">
        <v>111</v>
      </c>
      <c r="G437" s="7" cm="1">
        <f t="array" ref="G437">INT(planned(F437))</f>
        <v>137</v>
      </c>
      <c r="H437">
        <f>VLOOKUP(G437,Table4[[#All],[Cost Center]:[Client Type]],2,TRUE)</f>
        <v>1</v>
      </c>
      <c r="I437" t="str">
        <f>VLOOKUP(G437,Table4[[#All],[Cost Center]:[Client Type]],3,TRUE)</f>
        <v>ORA Zed PKGs A &amp; D</v>
      </c>
      <c r="J437" t="str">
        <f>VLOOKUP(G437,Table4[[#All],[Cost Center]:[Client Type]],5,TRUE)</f>
        <v>Osama Mezayn</v>
      </c>
    </row>
    <row r="438" spans="6:10" x14ac:dyDescent="0.25">
      <c r="F438" t="s">
        <v>111</v>
      </c>
      <c r="G438" s="7" cm="1">
        <f t="array" ref="G438">INT(planned(F438))</f>
        <v>137</v>
      </c>
      <c r="H438">
        <f>VLOOKUP(G438,Table4[[#All],[Cost Center]:[Client Type]],2,TRUE)</f>
        <v>1</v>
      </c>
      <c r="I438" t="str">
        <f>VLOOKUP(G438,Table4[[#All],[Cost Center]:[Client Type]],3,TRUE)</f>
        <v>ORA Zed PKGs A &amp; D</v>
      </c>
      <c r="J438" t="str">
        <f>VLOOKUP(G438,Table4[[#All],[Cost Center]:[Client Type]],5,TRUE)</f>
        <v>Osama Mezayn</v>
      </c>
    </row>
    <row r="439" spans="6:10" x14ac:dyDescent="0.25">
      <c r="F439" t="s">
        <v>111</v>
      </c>
      <c r="G439" s="7" cm="1">
        <f t="array" ref="G439">INT(planned(F439))</f>
        <v>137</v>
      </c>
      <c r="H439">
        <f>VLOOKUP(G439,Table4[[#All],[Cost Center]:[Client Type]],2,TRUE)</f>
        <v>1</v>
      </c>
      <c r="I439" t="str">
        <f>VLOOKUP(G439,Table4[[#All],[Cost Center]:[Client Type]],3,TRUE)</f>
        <v>ORA Zed PKGs A &amp; D</v>
      </c>
      <c r="J439" t="str">
        <f>VLOOKUP(G439,Table4[[#All],[Cost Center]:[Client Type]],5,TRUE)</f>
        <v>Osama Mezayn</v>
      </c>
    </row>
    <row r="440" spans="6:10" x14ac:dyDescent="0.25">
      <c r="F440" t="s">
        <v>111</v>
      </c>
      <c r="G440" s="7" cm="1">
        <f t="array" ref="G440">INT(planned(F440))</f>
        <v>137</v>
      </c>
      <c r="H440">
        <f>VLOOKUP(G440,Table4[[#All],[Cost Center]:[Client Type]],2,TRUE)</f>
        <v>1</v>
      </c>
      <c r="I440" t="str">
        <f>VLOOKUP(G440,Table4[[#All],[Cost Center]:[Client Type]],3,TRUE)</f>
        <v>ORA Zed PKGs A &amp; D</v>
      </c>
      <c r="J440" t="str">
        <f>VLOOKUP(G440,Table4[[#All],[Cost Center]:[Client Type]],5,TRUE)</f>
        <v>Osama Mezayn</v>
      </c>
    </row>
    <row r="441" spans="6:10" x14ac:dyDescent="0.25">
      <c r="F441" t="s">
        <v>111</v>
      </c>
      <c r="G441" s="7" cm="1">
        <f t="array" ref="G441">INT(planned(F441))</f>
        <v>137</v>
      </c>
      <c r="H441">
        <f>VLOOKUP(G441,Table4[[#All],[Cost Center]:[Client Type]],2,TRUE)</f>
        <v>1</v>
      </c>
      <c r="I441" t="str">
        <f>VLOOKUP(G441,Table4[[#All],[Cost Center]:[Client Type]],3,TRUE)</f>
        <v>ORA Zed PKGs A &amp; D</v>
      </c>
      <c r="J441" t="str">
        <f>VLOOKUP(G441,Table4[[#All],[Cost Center]:[Client Type]],5,TRUE)</f>
        <v>Osama Mezayn</v>
      </c>
    </row>
    <row r="442" spans="6:10" x14ac:dyDescent="0.25">
      <c r="F442" t="s">
        <v>111</v>
      </c>
      <c r="G442" s="7" cm="1">
        <f t="array" ref="G442">INT(planned(F442))</f>
        <v>137</v>
      </c>
      <c r="H442">
        <f>VLOOKUP(G442,Table4[[#All],[Cost Center]:[Client Type]],2,TRUE)</f>
        <v>1</v>
      </c>
      <c r="I442" t="str">
        <f>VLOOKUP(G442,Table4[[#All],[Cost Center]:[Client Type]],3,TRUE)</f>
        <v>ORA Zed PKGs A &amp; D</v>
      </c>
      <c r="J442" t="str">
        <f>VLOOKUP(G442,Table4[[#All],[Cost Center]:[Client Type]],5,TRUE)</f>
        <v>Osama Mezayn</v>
      </c>
    </row>
    <row r="443" spans="6:10" x14ac:dyDescent="0.25">
      <c r="F443" t="s">
        <v>111</v>
      </c>
      <c r="G443" s="7" cm="1">
        <f t="array" ref="G443">INT(planned(F443))</f>
        <v>137</v>
      </c>
      <c r="H443">
        <f>VLOOKUP(G443,Table4[[#All],[Cost Center]:[Client Type]],2,TRUE)</f>
        <v>1</v>
      </c>
      <c r="I443" t="str">
        <f>VLOOKUP(G443,Table4[[#All],[Cost Center]:[Client Type]],3,TRUE)</f>
        <v>ORA Zed PKGs A &amp; D</v>
      </c>
      <c r="J443" t="str">
        <f>VLOOKUP(G443,Table4[[#All],[Cost Center]:[Client Type]],5,TRUE)</f>
        <v>Osama Mezayn</v>
      </c>
    </row>
    <row r="444" spans="6:10" x14ac:dyDescent="0.25">
      <c r="F444" t="s">
        <v>111</v>
      </c>
      <c r="G444" s="7" cm="1">
        <f t="array" ref="G444">INT(planned(F444))</f>
        <v>137</v>
      </c>
      <c r="H444">
        <f>VLOOKUP(G444,Table4[[#All],[Cost Center]:[Client Type]],2,TRUE)</f>
        <v>1</v>
      </c>
      <c r="I444" t="str">
        <f>VLOOKUP(G444,Table4[[#All],[Cost Center]:[Client Type]],3,TRUE)</f>
        <v>ORA Zed PKGs A &amp; D</v>
      </c>
      <c r="J444" t="str">
        <f>VLOOKUP(G444,Table4[[#All],[Cost Center]:[Client Type]],5,TRUE)</f>
        <v>Osama Mezayn</v>
      </c>
    </row>
    <row r="445" spans="6:10" x14ac:dyDescent="0.25">
      <c r="F445" t="s">
        <v>111</v>
      </c>
      <c r="G445" s="7" cm="1">
        <f t="array" ref="G445">INT(planned(F445))</f>
        <v>137</v>
      </c>
      <c r="H445">
        <f>VLOOKUP(G445,Table4[[#All],[Cost Center]:[Client Type]],2,TRUE)</f>
        <v>1</v>
      </c>
      <c r="I445" t="str">
        <f>VLOOKUP(G445,Table4[[#All],[Cost Center]:[Client Type]],3,TRUE)</f>
        <v>ORA Zed PKGs A &amp; D</v>
      </c>
      <c r="J445" t="str">
        <f>VLOOKUP(G445,Table4[[#All],[Cost Center]:[Client Type]],5,TRUE)</f>
        <v>Osama Mezayn</v>
      </c>
    </row>
    <row r="446" spans="6:10" x14ac:dyDescent="0.25">
      <c r="F446" t="s">
        <v>111</v>
      </c>
      <c r="G446" s="7" cm="1">
        <f t="array" ref="G446">INT(planned(F446))</f>
        <v>137</v>
      </c>
      <c r="H446">
        <f>VLOOKUP(G446,Table4[[#All],[Cost Center]:[Client Type]],2,TRUE)</f>
        <v>1</v>
      </c>
      <c r="I446" t="str">
        <f>VLOOKUP(G446,Table4[[#All],[Cost Center]:[Client Type]],3,TRUE)</f>
        <v>ORA Zed PKGs A &amp; D</v>
      </c>
      <c r="J446" t="str">
        <f>VLOOKUP(G446,Table4[[#All],[Cost Center]:[Client Type]],5,TRUE)</f>
        <v>Osama Mezayn</v>
      </c>
    </row>
    <row r="447" spans="6:10" x14ac:dyDescent="0.25">
      <c r="F447" t="s">
        <v>111</v>
      </c>
      <c r="G447" s="7" cm="1">
        <f t="array" ref="G447">INT(planned(F447))</f>
        <v>137</v>
      </c>
      <c r="H447">
        <f>VLOOKUP(G447,Table4[[#All],[Cost Center]:[Client Type]],2,TRUE)</f>
        <v>1</v>
      </c>
      <c r="I447" t="str">
        <f>VLOOKUP(G447,Table4[[#All],[Cost Center]:[Client Type]],3,TRUE)</f>
        <v>ORA Zed PKGs A &amp; D</v>
      </c>
      <c r="J447" t="str">
        <f>VLOOKUP(G447,Table4[[#All],[Cost Center]:[Client Type]],5,TRUE)</f>
        <v>Osama Mezayn</v>
      </c>
    </row>
    <row r="448" spans="6:10" x14ac:dyDescent="0.25">
      <c r="F448" t="s">
        <v>111</v>
      </c>
      <c r="G448" s="7" cm="1">
        <f t="array" ref="G448">INT(planned(F448))</f>
        <v>137</v>
      </c>
      <c r="H448">
        <f>VLOOKUP(G448,Table4[[#All],[Cost Center]:[Client Type]],2,TRUE)</f>
        <v>1</v>
      </c>
      <c r="I448" t="str">
        <f>VLOOKUP(G448,Table4[[#All],[Cost Center]:[Client Type]],3,TRUE)</f>
        <v>ORA Zed PKGs A &amp; D</v>
      </c>
      <c r="J448" t="str">
        <f>VLOOKUP(G448,Table4[[#All],[Cost Center]:[Client Type]],5,TRUE)</f>
        <v>Osama Mezayn</v>
      </c>
    </row>
    <row r="449" spans="6:10" x14ac:dyDescent="0.25">
      <c r="F449" t="s">
        <v>111</v>
      </c>
      <c r="G449" s="7" cm="1">
        <f t="array" ref="G449">INT(planned(F449))</f>
        <v>137</v>
      </c>
      <c r="H449">
        <f>VLOOKUP(G449,Table4[[#All],[Cost Center]:[Client Type]],2,TRUE)</f>
        <v>1</v>
      </c>
      <c r="I449" t="str">
        <f>VLOOKUP(G449,Table4[[#All],[Cost Center]:[Client Type]],3,TRUE)</f>
        <v>ORA Zed PKGs A &amp; D</v>
      </c>
      <c r="J449" t="str">
        <f>VLOOKUP(G449,Table4[[#All],[Cost Center]:[Client Type]],5,TRUE)</f>
        <v>Osama Mezayn</v>
      </c>
    </row>
    <row r="450" spans="6:10" x14ac:dyDescent="0.25">
      <c r="F450" t="s">
        <v>111</v>
      </c>
      <c r="G450" s="7" cm="1">
        <f t="array" ref="G450">INT(planned(F450))</f>
        <v>137</v>
      </c>
      <c r="H450">
        <f>VLOOKUP(G450,Table4[[#All],[Cost Center]:[Client Type]],2,TRUE)</f>
        <v>1</v>
      </c>
      <c r="I450" t="str">
        <f>VLOOKUP(G450,Table4[[#All],[Cost Center]:[Client Type]],3,TRUE)</f>
        <v>ORA Zed PKGs A &amp; D</v>
      </c>
      <c r="J450" t="str">
        <f>VLOOKUP(G450,Table4[[#All],[Cost Center]:[Client Type]],5,TRUE)</f>
        <v>Osama Mezayn</v>
      </c>
    </row>
    <row r="451" spans="6:10" x14ac:dyDescent="0.25">
      <c r="F451" t="s">
        <v>111</v>
      </c>
      <c r="G451" s="7" cm="1">
        <f t="array" ref="G451">INT(planned(F451))</f>
        <v>137</v>
      </c>
      <c r="H451">
        <f>VLOOKUP(G451,Table4[[#All],[Cost Center]:[Client Type]],2,TRUE)</f>
        <v>1</v>
      </c>
      <c r="I451" t="str">
        <f>VLOOKUP(G451,Table4[[#All],[Cost Center]:[Client Type]],3,TRUE)</f>
        <v>ORA Zed PKGs A &amp; D</v>
      </c>
      <c r="J451" t="str">
        <f>VLOOKUP(G451,Table4[[#All],[Cost Center]:[Client Type]],5,TRUE)</f>
        <v>Osama Mezayn</v>
      </c>
    </row>
    <row r="452" spans="6:10" x14ac:dyDescent="0.25">
      <c r="F452" t="s">
        <v>111</v>
      </c>
      <c r="G452" s="7" cm="1">
        <f t="array" ref="G452">INT(planned(F452))</f>
        <v>137</v>
      </c>
      <c r="H452">
        <f>VLOOKUP(G452,Table4[[#All],[Cost Center]:[Client Type]],2,TRUE)</f>
        <v>1</v>
      </c>
      <c r="I452" t="str">
        <f>VLOOKUP(G452,Table4[[#All],[Cost Center]:[Client Type]],3,TRUE)</f>
        <v>ORA Zed PKGs A &amp; D</v>
      </c>
      <c r="J452" t="str">
        <f>VLOOKUP(G452,Table4[[#All],[Cost Center]:[Client Type]],5,TRUE)</f>
        <v>Osama Mezayn</v>
      </c>
    </row>
    <row r="453" spans="6:10" x14ac:dyDescent="0.25">
      <c r="F453" t="s">
        <v>111</v>
      </c>
      <c r="G453" s="7" cm="1">
        <f t="array" ref="G453">INT(planned(F453))</f>
        <v>137</v>
      </c>
      <c r="H453">
        <f>VLOOKUP(G453,Table4[[#All],[Cost Center]:[Client Type]],2,TRUE)</f>
        <v>1</v>
      </c>
      <c r="I453" t="str">
        <f>VLOOKUP(G453,Table4[[#All],[Cost Center]:[Client Type]],3,TRUE)</f>
        <v>ORA Zed PKGs A &amp; D</v>
      </c>
      <c r="J453" t="str">
        <f>VLOOKUP(G453,Table4[[#All],[Cost Center]:[Client Type]],5,TRUE)</f>
        <v>Osama Mezayn</v>
      </c>
    </row>
    <row r="454" spans="6:10" x14ac:dyDescent="0.25">
      <c r="F454" t="s">
        <v>111</v>
      </c>
      <c r="G454" s="7" cm="1">
        <f t="array" ref="G454">INT(planned(F454))</f>
        <v>137</v>
      </c>
      <c r="H454">
        <f>VLOOKUP(G454,Table4[[#All],[Cost Center]:[Client Type]],2,TRUE)</f>
        <v>1</v>
      </c>
      <c r="I454" t="str">
        <f>VLOOKUP(G454,Table4[[#All],[Cost Center]:[Client Type]],3,TRUE)</f>
        <v>ORA Zed PKGs A &amp; D</v>
      </c>
      <c r="J454" t="str">
        <f>VLOOKUP(G454,Table4[[#All],[Cost Center]:[Client Type]],5,TRUE)</f>
        <v>Osama Mezayn</v>
      </c>
    </row>
    <row r="455" spans="6:10" x14ac:dyDescent="0.25">
      <c r="F455" t="s">
        <v>111</v>
      </c>
      <c r="G455" s="7" cm="1">
        <f t="array" ref="G455">INT(planned(F455))</f>
        <v>137</v>
      </c>
      <c r="H455">
        <f>VLOOKUP(G455,Table4[[#All],[Cost Center]:[Client Type]],2,TRUE)</f>
        <v>1</v>
      </c>
      <c r="I455" t="str">
        <f>VLOOKUP(G455,Table4[[#All],[Cost Center]:[Client Type]],3,TRUE)</f>
        <v>ORA Zed PKGs A &amp; D</v>
      </c>
      <c r="J455" t="str">
        <f>VLOOKUP(G455,Table4[[#All],[Cost Center]:[Client Type]],5,TRUE)</f>
        <v>Osama Mezayn</v>
      </c>
    </row>
    <row r="456" spans="6:10" x14ac:dyDescent="0.25">
      <c r="F456" t="s">
        <v>111</v>
      </c>
      <c r="G456" s="7" cm="1">
        <f t="array" ref="G456">INT(planned(F456))</f>
        <v>137</v>
      </c>
      <c r="H456">
        <f>VLOOKUP(G456,Table4[[#All],[Cost Center]:[Client Type]],2,TRUE)</f>
        <v>1</v>
      </c>
      <c r="I456" t="str">
        <f>VLOOKUP(G456,Table4[[#All],[Cost Center]:[Client Type]],3,TRUE)</f>
        <v>ORA Zed PKGs A &amp; D</v>
      </c>
      <c r="J456" t="str">
        <f>VLOOKUP(G456,Table4[[#All],[Cost Center]:[Client Type]],5,TRUE)</f>
        <v>Osama Mezayn</v>
      </c>
    </row>
    <row r="457" spans="6:10" x14ac:dyDescent="0.25">
      <c r="F457" t="s">
        <v>111</v>
      </c>
      <c r="G457" s="7" cm="1">
        <f t="array" ref="G457">INT(planned(F457))</f>
        <v>137</v>
      </c>
      <c r="H457">
        <f>VLOOKUP(G457,Table4[[#All],[Cost Center]:[Client Type]],2,TRUE)</f>
        <v>1</v>
      </c>
      <c r="I457" t="str">
        <f>VLOOKUP(G457,Table4[[#All],[Cost Center]:[Client Type]],3,TRUE)</f>
        <v>ORA Zed PKGs A &amp; D</v>
      </c>
      <c r="J457" t="str">
        <f>VLOOKUP(G457,Table4[[#All],[Cost Center]:[Client Type]],5,TRUE)</f>
        <v>Osama Mezayn</v>
      </c>
    </row>
    <row r="458" spans="6:10" x14ac:dyDescent="0.25">
      <c r="F458" t="s">
        <v>111</v>
      </c>
      <c r="G458" s="7" cm="1">
        <f t="array" ref="G458">INT(planned(F458))</f>
        <v>137</v>
      </c>
      <c r="H458">
        <f>VLOOKUP(G458,Table4[[#All],[Cost Center]:[Client Type]],2,TRUE)</f>
        <v>1</v>
      </c>
      <c r="I458" t="str">
        <f>VLOOKUP(G458,Table4[[#All],[Cost Center]:[Client Type]],3,TRUE)</f>
        <v>ORA Zed PKGs A &amp; D</v>
      </c>
      <c r="J458" t="str">
        <f>VLOOKUP(G458,Table4[[#All],[Cost Center]:[Client Type]],5,TRUE)</f>
        <v>Osama Mezayn</v>
      </c>
    </row>
    <row r="459" spans="6:10" x14ac:dyDescent="0.25">
      <c r="F459" t="s">
        <v>111</v>
      </c>
      <c r="G459" s="7" cm="1">
        <f t="array" ref="G459">INT(planned(F459))</f>
        <v>137</v>
      </c>
      <c r="H459">
        <f>VLOOKUP(G459,Table4[[#All],[Cost Center]:[Client Type]],2,TRUE)</f>
        <v>1</v>
      </c>
      <c r="I459" t="str">
        <f>VLOOKUP(G459,Table4[[#All],[Cost Center]:[Client Type]],3,TRUE)</f>
        <v>ORA Zed PKGs A &amp; D</v>
      </c>
      <c r="J459" t="str">
        <f>VLOOKUP(G459,Table4[[#All],[Cost Center]:[Client Type]],5,TRUE)</f>
        <v>Osama Mezayn</v>
      </c>
    </row>
    <row r="460" spans="6:10" x14ac:dyDescent="0.25">
      <c r="F460" t="s">
        <v>111</v>
      </c>
      <c r="G460" s="7" cm="1">
        <f t="array" ref="G460">INT(planned(F460))</f>
        <v>137</v>
      </c>
      <c r="H460">
        <f>VLOOKUP(G460,Table4[[#All],[Cost Center]:[Client Type]],2,TRUE)</f>
        <v>1</v>
      </c>
      <c r="I460" t="str">
        <f>VLOOKUP(G460,Table4[[#All],[Cost Center]:[Client Type]],3,TRUE)</f>
        <v>ORA Zed PKGs A &amp; D</v>
      </c>
      <c r="J460" t="str">
        <f>VLOOKUP(G460,Table4[[#All],[Cost Center]:[Client Type]],5,TRUE)</f>
        <v>Osama Mezayn</v>
      </c>
    </row>
    <row r="461" spans="6:10" x14ac:dyDescent="0.25">
      <c r="F461" t="s">
        <v>111</v>
      </c>
      <c r="G461" s="7" cm="1">
        <f t="array" ref="G461">INT(planned(F461))</f>
        <v>137</v>
      </c>
      <c r="H461">
        <f>VLOOKUP(G461,Table4[[#All],[Cost Center]:[Client Type]],2,TRUE)</f>
        <v>1</v>
      </c>
      <c r="I461" t="str">
        <f>VLOOKUP(G461,Table4[[#All],[Cost Center]:[Client Type]],3,TRUE)</f>
        <v>ORA Zed PKGs A &amp; D</v>
      </c>
      <c r="J461" t="str">
        <f>VLOOKUP(G461,Table4[[#All],[Cost Center]:[Client Type]],5,TRUE)</f>
        <v>Osama Mezayn</v>
      </c>
    </row>
    <row r="462" spans="6:10" x14ac:dyDescent="0.25">
      <c r="F462" t="s">
        <v>111</v>
      </c>
      <c r="G462" s="7" cm="1">
        <f t="array" ref="G462">INT(planned(F462))</f>
        <v>137</v>
      </c>
      <c r="H462">
        <f>VLOOKUP(G462,Table4[[#All],[Cost Center]:[Client Type]],2,TRUE)</f>
        <v>1</v>
      </c>
      <c r="I462" t="str">
        <f>VLOOKUP(G462,Table4[[#All],[Cost Center]:[Client Type]],3,TRUE)</f>
        <v>ORA Zed PKGs A &amp; D</v>
      </c>
      <c r="J462" t="str">
        <f>VLOOKUP(G462,Table4[[#All],[Cost Center]:[Client Type]],5,TRUE)</f>
        <v>Osama Mezayn</v>
      </c>
    </row>
    <row r="463" spans="6:10" x14ac:dyDescent="0.25">
      <c r="F463" t="s">
        <v>111</v>
      </c>
      <c r="G463" s="7" cm="1">
        <f t="array" ref="G463">INT(planned(F463))</f>
        <v>137</v>
      </c>
      <c r="H463">
        <f>VLOOKUP(G463,Table4[[#All],[Cost Center]:[Client Type]],2,TRUE)</f>
        <v>1</v>
      </c>
      <c r="I463" t="str">
        <f>VLOOKUP(G463,Table4[[#All],[Cost Center]:[Client Type]],3,TRUE)</f>
        <v>ORA Zed PKGs A &amp; D</v>
      </c>
      <c r="J463" t="str">
        <f>VLOOKUP(G463,Table4[[#All],[Cost Center]:[Client Type]],5,TRUE)</f>
        <v>Osama Mezayn</v>
      </c>
    </row>
    <row r="464" spans="6:10" x14ac:dyDescent="0.25">
      <c r="F464" t="s">
        <v>111</v>
      </c>
      <c r="G464" s="7" cm="1">
        <f t="array" ref="G464">INT(planned(F464))</f>
        <v>137</v>
      </c>
      <c r="H464">
        <f>VLOOKUP(G464,Table4[[#All],[Cost Center]:[Client Type]],2,TRUE)</f>
        <v>1</v>
      </c>
      <c r="I464" t="str">
        <f>VLOOKUP(G464,Table4[[#All],[Cost Center]:[Client Type]],3,TRUE)</f>
        <v>ORA Zed PKGs A &amp; D</v>
      </c>
      <c r="J464" t="str">
        <f>VLOOKUP(G464,Table4[[#All],[Cost Center]:[Client Type]],5,TRUE)</f>
        <v>Osama Mezayn</v>
      </c>
    </row>
    <row r="465" spans="6:10" x14ac:dyDescent="0.25">
      <c r="F465" t="s">
        <v>111</v>
      </c>
      <c r="G465" s="7" cm="1">
        <f t="array" ref="G465">INT(planned(F465))</f>
        <v>137</v>
      </c>
      <c r="H465">
        <f>VLOOKUP(G465,Table4[[#All],[Cost Center]:[Client Type]],2,TRUE)</f>
        <v>1</v>
      </c>
      <c r="I465" t="str">
        <f>VLOOKUP(G465,Table4[[#All],[Cost Center]:[Client Type]],3,TRUE)</f>
        <v>ORA Zed PKGs A &amp; D</v>
      </c>
      <c r="J465" t="str">
        <f>VLOOKUP(G465,Table4[[#All],[Cost Center]:[Client Type]],5,TRUE)</f>
        <v>Osama Mezayn</v>
      </c>
    </row>
    <row r="466" spans="6:10" x14ac:dyDescent="0.25">
      <c r="F466" t="s">
        <v>111</v>
      </c>
      <c r="G466" s="7" cm="1">
        <f t="array" ref="G466">INT(planned(F466))</f>
        <v>137</v>
      </c>
      <c r="H466">
        <f>VLOOKUP(G466,Table4[[#All],[Cost Center]:[Client Type]],2,TRUE)</f>
        <v>1</v>
      </c>
      <c r="I466" t="str">
        <f>VLOOKUP(G466,Table4[[#All],[Cost Center]:[Client Type]],3,TRUE)</f>
        <v>ORA Zed PKGs A &amp; D</v>
      </c>
      <c r="J466" t="str">
        <f>VLOOKUP(G466,Table4[[#All],[Cost Center]:[Client Type]],5,TRUE)</f>
        <v>Osama Mezayn</v>
      </c>
    </row>
    <row r="467" spans="6:10" x14ac:dyDescent="0.25">
      <c r="F467" t="s">
        <v>111</v>
      </c>
      <c r="G467" s="7" cm="1">
        <f t="array" ref="G467">INT(planned(F467))</f>
        <v>137</v>
      </c>
      <c r="H467">
        <f>VLOOKUP(G467,Table4[[#All],[Cost Center]:[Client Type]],2,TRUE)</f>
        <v>1</v>
      </c>
      <c r="I467" t="str">
        <f>VLOOKUP(G467,Table4[[#All],[Cost Center]:[Client Type]],3,TRUE)</f>
        <v>ORA Zed PKGs A &amp; D</v>
      </c>
      <c r="J467" t="str">
        <f>VLOOKUP(G467,Table4[[#All],[Cost Center]:[Client Type]],5,TRUE)</f>
        <v>Osama Mezayn</v>
      </c>
    </row>
    <row r="468" spans="6:10" x14ac:dyDescent="0.25">
      <c r="F468" t="s">
        <v>111</v>
      </c>
      <c r="G468" s="7" cm="1">
        <f t="array" ref="G468">INT(planned(F468))</f>
        <v>137</v>
      </c>
      <c r="H468">
        <f>VLOOKUP(G468,Table4[[#All],[Cost Center]:[Client Type]],2,TRUE)</f>
        <v>1</v>
      </c>
      <c r="I468" t="str">
        <f>VLOOKUP(G468,Table4[[#All],[Cost Center]:[Client Type]],3,TRUE)</f>
        <v>ORA Zed PKGs A &amp; D</v>
      </c>
      <c r="J468" t="str">
        <f>VLOOKUP(G468,Table4[[#All],[Cost Center]:[Client Type]],5,TRUE)</f>
        <v>Osama Mezayn</v>
      </c>
    </row>
    <row r="469" spans="6:10" x14ac:dyDescent="0.25">
      <c r="F469" t="s">
        <v>111</v>
      </c>
      <c r="G469" s="7" cm="1">
        <f t="array" ref="G469">INT(planned(F469))</f>
        <v>137</v>
      </c>
      <c r="H469">
        <f>VLOOKUP(G469,Table4[[#All],[Cost Center]:[Client Type]],2,TRUE)</f>
        <v>1</v>
      </c>
      <c r="I469" t="str">
        <f>VLOOKUP(G469,Table4[[#All],[Cost Center]:[Client Type]],3,TRUE)</f>
        <v>ORA Zed PKGs A &amp; D</v>
      </c>
      <c r="J469" t="str">
        <f>VLOOKUP(G469,Table4[[#All],[Cost Center]:[Client Type]],5,TRUE)</f>
        <v>Osama Mezayn</v>
      </c>
    </row>
    <row r="470" spans="6:10" x14ac:dyDescent="0.25">
      <c r="F470" t="s">
        <v>111</v>
      </c>
      <c r="G470" s="7" cm="1">
        <f t="array" ref="G470">INT(planned(F470))</f>
        <v>137</v>
      </c>
      <c r="H470">
        <f>VLOOKUP(G470,Table4[[#All],[Cost Center]:[Client Type]],2,TRUE)</f>
        <v>1</v>
      </c>
      <c r="I470" t="str">
        <f>VLOOKUP(G470,Table4[[#All],[Cost Center]:[Client Type]],3,TRUE)</f>
        <v>ORA Zed PKGs A &amp; D</v>
      </c>
      <c r="J470" t="str">
        <f>VLOOKUP(G470,Table4[[#All],[Cost Center]:[Client Type]],5,TRUE)</f>
        <v>Osama Mezayn</v>
      </c>
    </row>
    <row r="471" spans="6:10" x14ac:dyDescent="0.25">
      <c r="F471" t="s">
        <v>111</v>
      </c>
      <c r="G471" s="7" cm="1">
        <f t="array" ref="G471">INT(planned(F471))</f>
        <v>137</v>
      </c>
      <c r="H471">
        <f>VLOOKUP(G471,Table4[[#All],[Cost Center]:[Client Type]],2,TRUE)</f>
        <v>1</v>
      </c>
      <c r="I471" t="str">
        <f>VLOOKUP(G471,Table4[[#All],[Cost Center]:[Client Type]],3,TRUE)</f>
        <v>ORA Zed PKGs A &amp; D</v>
      </c>
      <c r="J471" t="str">
        <f>VLOOKUP(G471,Table4[[#All],[Cost Center]:[Client Type]],5,TRUE)</f>
        <v>Osama Mezayn</v>
      </c>
    </row>
    <row r="472" spans="6:10" x14ac:dyDescent="0.25">
      <c r="F472" t="s">
        <v>111</v>
      </c>
      <c r="G472" s="7" cm="1">
        <f t="array" ref="G472">INT(planned(F472))</f>
        <v>137</v>
      </c>
      <c r="H472">
        <f>VLOOKUP(G472,Table4[[#All],[Cost Center]:[Client Type]],2,TRUE)</f>
        <v>1</v>
      </c>
      <c r="I472" t="str">
        <f>VLOOKUP(G472,Table4[[#All],[Cost Center]:[Client Type]],3,TRUE)</f>
        <v>ORA Zed PKGs A &amp; D</v>
      </c>
      <c r="J472" t="str">
        <f>VLOOKUP(G472,Table4[[#All],[Cost Center]:[Client Type]],5,TRUE)</f>
        <v>Osama Mezayn</v>
      </c>
    </row>
    <row r="473" spans="6:10" x14ac:dyDescent="0.25">
      <c r="F473" t="s">
        <v>111</v>
      </c>
      <c r="G473" s="7" cm="1">
        <f t="array" ref="G473">INT(planned(F473))</f>
        <v>137</v>
      </c>
      <c r="H473">
        <f>VLOOKUP(G473,Table4[[#All],[Cost Center]:[Client Type]],2,TRUE)</f>
        <v>1</v>
      </c>
      <c r="I473" t="str">
        <f>VLOOKUP(G473,Table4[[#All],[Cost Center]:[Client Type]],3,TRUE)</f>
        <v>ORA Zed PKGs A &amp; D</v>
      </c>
      <c r="J473" t="str">
        <f>VLOOKUP(G473,Table4[[#All],[Cost Center]:[Client Type]],5,TRUE)</f>
        <v>Osama Mezayn</v>
      </c>
    </row>
    <row r="474" spans="6:10" x14ac:dyDescent="0.25">
      <c r="F474" t="s">
        <v>111</v>
      </c>
      <c r="G474" s="7" cm="1">
        <f t="array" ref="G474">INT(planned(F474))</f>
        <v>137</v>
      </c>
      <c r="H474">
        <f>VLOOKUP(G474,Table4[[#All],[Cost Center]:[Client Type]],2,TRUE)</f>
        <v>1</v>
      </c>
      <c r="I474" t="str">
        <f>VLOOKUP(G474,Table4[[#All],[Cost Center]:[Client Type]],3,TRUE)</f>
        <v>ORA Zed PKGs A &amp; D</v>
      </c>
      <c r="J474" t="str">
        <f>VLOOKUP(G474,Table4[[#All],[Cost Center]:[Client Type]],5,TRUE)</f>
        <v>Osama Mezayn</v>
      </c>
    </row>
    <row r="475" spans="6:10" x14ac:dyDescent="0.25">
      <c r="F475" t="s">
        <v>111</v>
      </c>
      <c r="G475" s="7" cm="1">
        <f t="array" ref="G475">INT(planned(F475))</f>
        <v>137</v>
      </c>
      <c r="H475">
        <f>VLOOKUP(G475,Table4[[#All],[Cost Center]:[Client Type]],2,TRUE)</f>
        <v>1</v>
      </c>
      <c r="I475" t="str">
        <f>VLOOKUP(G475,Table4[[#All],[Cost Center]:[Client Type]],3,TRUE)</f>
        <v>ORA Zed PKGs A &amp; D</v>
      </c>
      <c r="J475" t="str">
        <f>VLOOKUP(G475,Table4[[#All],[Cost Center]:[Client Type]],5,TRUE)</f>
        <v>Osama Mezayn</v>
      </c>
    </row>
    <row r="476" spans="6:10" x14ac:dyDescent="0.25">
      <c r="F476" t="s">
        <v>111</v>
      </c>
      <c r="G476" s="7" cm="1">
        <f t="array" ref="G476">INT(planned(F476))</f>
        <v>137</v>
      </c>
      <c r="H476">
        <f>VLOOKUP(G476,Table4[[#All],[Cost Center]:[Client Type]],2,TRUE)</f>
        <v>1</v>
      </c>
      <c r="I476" t="str">
        <f>VLOOKUP(G476,Table4[[#All],[Cost Center]:[Client Type]],3,TRUE)</f>
        <v>ORA Zed PKGs A &amp; D</v>
      </c>
      <c r="J476" t="str">
        <f>VLOOKUP(G476,Table4[[#All],[Cost Center]:[Client Type]],5,TRUE)</f>
        <v>Osama Mezayn</v>
      </c>
    </row>
    <row r="477" spans="6:10" x14ac:dyDescent="0.25">
      <c r="F477" t="s">
        <v>111</v>
      </c>
      <c r="G477" s="7" cm="1">
        <f t="array" ref="G477">INT(planned(F477))</f>
        <v>137</v>
      </c>
      <c r="H477">
        <f>VLOOKUP(G477,Table4[[#All],[Cost Center]:[Client Type]],2,TRUE)</f>
        <v>1</v>
      </c>
      <c r="I477" t="str">
        <f>VLOOKUP(G477,Table4[[#All],[Cost Center]:[Client Type]],3,TRUE)</f>
        <v>ORA Zed PKGs A &amp; D</v>
      </c>
      <c r="J477" t="str">
        <f>VLOOKUP(G477,Table4[[#All],[Cost Center]:[Client Type]],5,TRUE)</f>
        <v>Osama Mezayn</v>
      </c>
    </row>
    <row r="478" spans="6:10" x14ac:dyDescent="0.25">
      <c r="F478" t="s">
        <v>111</v>
      </c>
      <c r="G478" s="7" cm="1">
        <f t="array" ref="G478">INT(planned(F478))</f>
        <v>137</v>
      </c>
      <c r="H478">
        <f>VLOOKUP(G478,Table4[[#All],[Cost Center]:[Client Type]],2,TRUE)</f>
        <v>1</v>
      </c>
      <c r="I478" t="str">
        <f>VLOOKUP(G478,Table4[[#All],[Cost Center]:[Client Type]],3,TRUE)</f>
        <v>ORA Zed PKGs A &amp; D</v>
      </c>
      <c r="J478" t="str">
        <f>VLOOKUP(G478,Table4[[#All],[Cost Center]:[Client Type]],5,TRUE)</f>
        <v>Osama Mezayn</v>
      </c>
    </row>
    <row r="479" spans="6:10" x14ac:dyDescent="0.25">
      <c r="F479" t="s">
        <v>111</v>
      </c>
      <c r="G479" s="7" cm="1">
        <f t="array" ref="G479">INT(planned(F479))</f>
        <v>137</v>
      </c>
      <c r="H479">
        <f>VLOOKUP(G479,Table4[[#All],[Cost Center]:[Client Type]],2,TRUE)</f>
        <v>1</v>
      </c>
      <c r="I479" t="str">
        <f>VLOOKUP(G479,Table4[[#All],[Cost Center]:[Client Type]],3,TRUE)</f>
        <v>ORA Zed PKGs A &amp; D</v>
      </c>
      <c r="J479" t="str">
        <f>VLOOKUP(G479,Table4[[#All],[Cost Center]:[Client Type]],5,TRUE)</f>
        <v>Osama Mezayn</v>
      </c>
    </row>
    <row r="480" spans="6:10" x14ac:dyDescent="0.25">
      <c r="F480" t="s">
        <v>111</v>
      </c>
      <c r="G480" s="7" cm="1">
        <f t="array" ref="G480">INT(planned(F480))</f>
        <v>137</v>
      </c>
      <c r="H480">
        <f>VLOOKUP(G480,Table4[[#All],[Cost Center]:[Client Type]],2,TRUE)</f>
        <v>1</v>
      </c>
      <c r="I480" t="str">
        <f>VLOOKUP(G480,Table4[[#All],[Cost Center]:[Client Type]],3,TRUE)</f>
        <v>ORA Zed PKGs A &amp; D</v>
      </c>
      <c r="J480" t="str">
        <f>VLOOKUP(G480,Table4[[#All],[Cost Center]:[Client Type]],5,TRUE)</f>
        <v>Osama Mezayn</v>
      </c>
    </row>
    <row r="481" spans="6:10" x14ac:dyDescent="0.25">
      <c r="F481" t="s">
        <v>111</v>
      </c>
      <c r="G481" s="7" cm="1">
        <f t="array" ref="G481">INT(planned(F481))</f>
        <v>137</v>
      </c>
      <c r="H481">
        <f>VLOOKUP(G481,Table4[[#All],[Cost Center]:[Client Type]],2,TRUE)</f>
        <v>1</v>
      </c>
      <c r="I481" t="str">
        <f>VLOOKUP(G481,Table4[[#All],[Cost Center]:[Client Type]],3,TRUE)</f>
        <v>ORA Zed PKGs A &amp; D</v>
      </c>
      <c r="J481" t="str">
        <f>VLOOKUP(G481,Table4[[#All],[Cost Center]:[Client Type]],5,TRUE)</f>
        <v>Osama Mezayn</v>
      </c>
    </row>
    <row r="482" spans="6:10" x14ac:dyDescent="0.25">
      <c r="F482" t="s">
        <v>111</v>
      </c>
      <c r="G482" s="7" cm="1">
        <f t="array" ref="G482">INT(planned(F482))</f>
        <v>137</v>
      </c>
      <c r="H482">
        <f>VLOOKUP(G482,Table4[[#All],[Cost Center]:[Client Type]],2,TRUE)</f>
        <v>1</v>
      </c>
      <c r="I482" t="str">
        <f>VLOOKUP(G482,Table4[[#All],[Cost Center]:[Client Type]],3,TRUE)</f>
        <v>ORA Zed PKGs A &amp; D</v>
      </c>
      <c r="J482" t="str">
        <f>VLOOKUP(G482,Table4[[#All],[Cost Center]:[Client Type]],5,TRUE)</f>
        <v>Osama Mezayn</v>
      </c>
    </row>
    <row r="483" spans="6:10" x14ac:dyDescent="0.25">
      <c r="F483" t="s">
        <v>111</v>
      </c>
      <c r="G483" s="7" cm="1">
        <f t="array" ref="G483">INT(planned(F483))</f>
        <v>137</v>
      </c>
      <c r="H483">
        <f>VLOOKUP(G483,Table4[[#All],[Cost Center]:[Client Type]],2,TRUE)</f>
        <v>1</v>
      </c>
      <c r="I483" t="str">
        <f>VLOOKUP(G483,Table4[[#All],[Cost Center]:[Client Type]],3,TRUE)</f>
        <v>ORA Zed PKGs A &amp; D</v>
      </c>
      <c r="J483" t="str">
        <f>VLOOKUP(G483,Table4[[#All],[Cost Center]:[Client Type]],5,TRUE)</f>
        <v>Osama Mezayn</v>
      </c>
    </row>
    <row r="484" spans="6:10" x14ac:dyDescent="0.25">
      <c r="F484" t="s">
        <v>111</v>
      </c>
      <c r="G484" s="7" cm="1">
        <f t="array" ref="G484">INT(planned(F484))</f>
        <v>137</v>
      </c>
      <c r="H484">
        <f>VLOOKUP(G484,Table4[[#All],[Cost Center]:[Client Type]],2,TRUE)</f>
        <v>1</v>
      </c>
      <c r="I484" t="str">
        <f>VLOOKUP(G484,Table4[[#All],[Cost Center]:[Client Type]],3,TRUE)</f>
        <v>ORA Zed PKGs A &amp; D</v>
      </c>
      <c r="J484" t="str">
        <f>VLOOKUP(G484,Table4[[#All],[Cost Center]:[Client Type]],5,TRUE)</f>
        <v>Osama Mezayn</v>
      </c>
    </row>
    <row r="485" spans="6:10" x14ac:dyDescent="0.25">
      <c r="F485" t="s">
        <v>111</v>
      </c>
      <c r="G485" s="7" cm="1">
        <f t="array" ref="G485">INT(planned(F485))</f>
        <v>137</v>
      </c>
      <c r="H485">
        <f>VLOOKUP(G485,Table4[[#All],[Cost Center]:[Client Type]],2,TRUE)</f>
        <v>1</v>
      </c>
      <c r="I485" t="str">
        <f>VLOOKUP(G485,Table4[[#All],[Cost Center]:[Client Type]],3,TRUE)</f>
        <v>ORA Zed PKGs A &amp; D</v>
      </c>
      <c r="J485" t="str">
        <f>VLOOKUP(G485,Table4[[#All],[Cost Center]:[Client Type]],5,TRUE)</f>
        <v>Osama Mezayn</v>
      </c>
    </row>
    <row r="486" spans="6:10" x14ac:dyDescent="0.25">
      <c r="F486" t="s">
        <v>111</v>
      </c>
      <c r="G486" s="7" cm="1">
        <f t="array" ref="G486">INT(planned(F486))</f>
        <v>137</v>
      </c>
      <c r="H486">
        <f>VLOOKUP(G486,Table4[[#All],[Cost Center]:[Client Type]],2,TRUE)</f>
        <v>1</v>
      </c>
      <c r="I486" t="str">
        <f>VLOOKUP(G486,Table4[[#All],[Cost Center]:[Client Type]],3,TRUE)</f>
        <v>ORA Zed PKGs A &amp; D</v>
      </c>
      <c r="J486" t="str">
        <f>VLOOKUP(G486,Table4[[#All],[Cost Center]:[Client Type]],5,TRUE)</f>
        <v>Osama Mezayn</v>
      </c>
    </row>
    <row r="487" spans="6:10" x14ac:dyDescent="0.25">
      <c r="F487" t="s">
        <v>111</v>
      </c>
      <c r="G487" s="7" cm="1">
        <f t="array" ref="G487">INT(planned(F487))</f>
        <v>137</v>
      </c>
      <c r="H487">
        <f>VLOOKUP(G487,Table4[[#All],[Cost Center]:[Client Type]],2,TRUE)</f>
        <v>1</v>
      </c>
      <c r="I487" t="str">
        <f>VLOOKUP(G487,Table4[[#All],[Cost Center]:[Client Type]],3,TRUE)</f>
        <v>ORA Zed PKGs A &amp; D</v>
      </c>
      <c r="J487" t="str">
        <f>VLOOKUP(G487,Table4[[#All],[Cost Center]:[Client Type]],5,TRUE)</f>
        <v>Osama Mezayn</v>
      </c>
    </row>
    <row r="488" spans="6:10" x14ac:dyDescent="0.25">
      <c r="F488" t="s">
        <v>111</v>
      </c>
      <c r="G488" s="7" cm="1">
        <f t="array" ref="G488">INT(planned(F488))</f>
        <v>137</v>
      </c>
      <c r="H488">
        <f>VLOOKUP(G488,Table4[[#All],[Cost Center]:[Client Type]],2,TRUE)</f>
        <v>1</v>
      </c>
      <c r="I488" t="str">
        <f>VLOOKUP(G488,Table4[[#All],[Cost Center]:[Client Type]],3,TRUE)</f>
        <v>ORA Zed PKGs A &amp; D</v>
      </c>
      <c r="J488" t="str">
        <f>VLOOKUP(G488,Table4[[#All],[Cost Center]:[Client Type]],5,TRUE)</f>
        <v>Osama Mezayn</v>
      </c>
    </row>
    <row r="489" spans="6:10" x14ac:dyDescent="0.25">
      <c r="F489" t="s">
        <v>111</v>
      </c>
      <c r="G489" s="7" cm="1">
        <f t="array" ref="G489">INT(planned(F489))</f>
        <v>137</v>
      </c>
      <c r="H489">
        <f>VLOOKUP(G489,Table4[[#All],[Cost Center]:[Client Type]],2,TRUE)</f>
        <v>1</v>
      </c>
      <c r="I489" t="str">
        <f>VLOOKUP(G489,Table4[[#All],[Cost Center]:[Client Type]],3,TRUE)</f>
        <v>ORA Zed PKGs A &amp; D</v>
      </c>
      <c r="J489" t="str">
        <f>VLOOKUP(G489,Table4[[#All],[Cost Center]:[Client Type]],5,TRUE)</f>
        <v>Osama Mezayn</v>
      </c>
    </row>
    <row r="490" spans="6:10" x14ac:dyDescent="0.25">
      <c r="F490" t="s">
        <v>111</v>
      </c>
      <c r="G490" s="7" cm="1">
        <f t="array" ref="G490">INT(planned(F490))</f>
        <v>137</v>
      </c>
      <c r="H490">
        <f>VLOOKUP(G490,Table4[[#All],[Cost Center]:[Client Type]],2,TRUE)</f>
        <v>1</v>
      </c>
      <c r="I490" t="str">
        <f>VLOOKUP(G490,Table4[[#All],[Cost Center]:[Client Type]],3,TRUE)</f>
        <v>ORA Zed PKGs A &amp; D</v>
      </c>
      <c r="J490" t="str">
        <f>VLOOKUP(G490,Table4[[#All],[Cost Center]:[Client Type]],5,TRUE)</f>
        <v>Osama Mezayn</v>
      </c>
    </row>
    <row r="491" spans="6:10" x14ac:dyDescent="0.25">
      <c r="F491" t="s">
        <v>111</v>
      </c>
      <c r="G491" s="7" cm="1">
        <f t="array" ref="G491">INT(planned(F491))</f>
        <v>137</v>
      </c>
      <c r="H491">
        <f>VLOOKUP(G491,Table4[[#All],[Cost Center]:[Client Type]],2,TRUE)</f>
        <v>1</v>
      </c>
      <c r="I491" t="str">
        <f>VLOOKUP(G491,Table4[[#All],[Cost Center]:[Client Type]],3,TRUE)</f>
        <v>ORA Zed PKGs A &amp; D</v>
      </c>
      <c r="J491" t="str">
        <f>VLOOKUP(G491,Table4[[#All],[Cost Center]:[Client Type]],5,TRUE)</f>
        <v>Osama Mezayn</v>
      </c>
    </row>
    <row r="492" spans="6:10" x14ac:dyDescent="0.25">
      <c r="F492" t="s">
        <v>111</v>
      </c>
      <c r="G492" s="7" cm="1">
        <f t="array" ref="G492">INT(planned(F492))</f>
        <v>137</v>
      </c>
      <c r="H492">
        <f>VLOOKUP(G492,Table4[[#All],[Cost Center]:[Client Type]],2,TRUE)</f>
        <v>1</v>
      </c>
      <c r="I492" t="str">
        <f>VLOOKUP(G492,Table4[[#All],[Cost Center]:[Client Type]],3,TRUE)</f>
        <v>ORA Zed PKGs A &amp; D</v>
      </c>
      <c r="J492" t="str">
        <f>VLOOKUP(G492,Table4[[#All],[Cost Center]:[Client Type]],5,TRUE)</f>
        <v>Osama Mezayn</v>
      </c>
    </row>
    <row r="493" spans="6:10" x14ac:dyDescent="0.25">
      <c r="F493" t="s">
        <v>111</v>
      </c>
      <c r="G493" s="7" cm="1">
        <f t="array" ref="G493">INT(planned(F493))</f>
        <v>137</v>
      </c>
      <c r="H493">
        <f>VLOOKUP(G493,Table4[[#All],[Cost Center]:[Client Type]],2,TRUE)</f>
        <v>1</v>
      </c>
      <c r="I493" t="str">
        <f>VLOOKUP(G493,Table4[[#All],[Cost Center]:[Client Type]],3,TRUE)</f>
        <v>ORA Zed PKGs A &amp; D</v>
      </c>
      <c r="J493" t="str">
        <f>VLOOKUP(G493,Table4[[#All],[Cost Center]:[Client Type]],5,TRUE)</f>
        <v>Osama Mezayn</v>
      </c>
    </row>
    <row r="494" spans="6:10" x14ac:dyDescent="0.25">
      <c r="F494" t="s">
        <v>111</v>
      </c>
      <c r="G494" s="7" cm="1">
        <f t="array" ref="G494">INT(planned(F494))</f>
        <v>137</v>
      </c>
      <c r="H494">
        <f>VLOOKUP(G494,Table4[[#All],[Cost Center]:[Client Type]],2,TRUE)</f>
        <v>1</v>
      </c>
      <c r="I494" t="str">
        <f>VLOOKUP(G494,Table4[[#All],[Cost Center]:[Client Type]],3,TRUE)</f>
        <v>ORA Zed PKGs A &amp; D</v>
      </c>
      <c r="J494" t="str">
        <f>VLOOKUP(G494,Table4[[#All],[Cost Center]:[Client Type]],5,TRUE)</f>
        <v>Osama Mezayn</v>
      </c>
    </row>
    <row r="495" spans="6:10" x14ac:dyDescent="0.25">
      <c r="F495" t="s">
        <v>111</v>
      </c>
      <c r="G495" s="7" cm="1">
        <f t="array" ref="G495">INT(planned(F495))</f>
        <v>137</v>
      </c>
      <c r="H495">
        <f>VLOOKUP(G495,Table4[[#All],[Cost Center]:[Client Type]],2,TRUE)</f>
        <v>1</v>
      </c>
      <c r="I495" t="str">
        <f>VLOOKUP(G495,Table4[[#All],[Cost Center]:[Client Type]],3,TRUE)</f>
        <v>ORA Zed PKGs A &amp; D</v>
      </c>
      <c r="J495" t="str">
        <f>VLOOKUP(G495,Table4[[#All],[Cost Center]:[Client Type]],5,TRUE)</f>
        <v>Osama Mezayn</v>
      </c>
    </row>
    <row r="496" spans="6:10" x14ac:dyDescent="0.25">
      <c r="F496" t="s">
        <v>111</v>
      </c>
      <c r="G496" s="7" cm="1">
        <f t="array" ref="G496">INT(planned(F496))</f>
        <v>137</v>
      </c>
      <c r="H496">
        <f>VLOOKUP(G496,Table4[[#All],[Cost Center]:[Client Type]],2,TRUE)</f>
        <v>1</v>
      </c>
      <c r="I496" t="str">
        <f>VLOOKUP(G496,Table4[[#All],[Cost Center]:[Client Type]],3,TRUE)</f>
        <v>ORA Zed PKGs A &amp; D</v>
      </c>
      <c r="J496" t="str">
        <f>VLOOKUP(G496,Table4[[#All],[Cost Center]:[Client Type]],5,TRUE)</f>
        <v>Osama Mezayn</v>
      </c>
    </row>
    <row r="497" spans="6:10" x14ac:dyDescent="0.25">
      <c r="F497" t="s">
        <v>111</v>
      </c>
      <c r="G497" s="7" cm="1">
        <f t="array" ref="G497">INT(planned(F497))</f>
        <v>137</v>
      </c>
      <c r="H497">
        <f>VLOOKUP(G497,Table4[[#All],[Cost Center]:[Client Type]],2,TRUE)</f>
        <v>1</v>
      </c>
      <c r="I497" t="str">
        <f>VLOOKUP(G497,Table4[[#All],[Cost Center]:[Client Type]],3,TRUE)</f>
        <v>ORA Zed PKGs A &amp; D</v>
      </c>
      <c r="J497" t="str">
        <f>VLOOKUP(G497,Table4[[#All],[Cost Center]:[Client Type]],5,TRUE)</f>
        <v>Osama Mezayn</v>
      </c>
    </row>
    <row r="498" spans="6:10" x14ac:dyDescent="0.25">
      <c r="F498" t="s">
        <v>111</v>
      </c>
      <c r="G498" s="7" cm="1">
        <f t="array" ref="G498">INT(planned(F498))</f>
        <v>137</v>
      </c>
      <c r="H498">
        <f>VLOOKUP(G498,Table4[[#All],[Cost Center]:[Client Type]],2,TRUE)</f>
        <v>1</v>
      </c>
      <c r="I498" t="str">
        <f>VLOOKUP(G498,Table4[[#All],[Cost Center]:[Client Type]],3,TRUE)</f>
        <v>ORA Zed PKGs A &amp; D</v>
      </c>
      <c r="J498" t="str">
        <f>VLOOKUP(G498,Table4[[#All],[Cost Center]:[Client Type]],5,TRUE)</f>
        <v>Osama Mezayn</v>
      </c>
    </row>
    <row r="499" spans="6:10" x14ac:dyDescent="0.25">
      <c r="F499" t="s">
        <v>111</v>
      </c>
      <c r="G499" s="7" cm="1">
        <f t="array" ref="G499">INT(planned(F499))</f>
        <v>137</v>
      </c>
      <c r="H499">
        <f>VLOOKUP(G499,Table4[[#All],[Cost Center]:[Client Type]],2,TRUE)</f>
        <v>1</v>
      </c>
      <c r="I499" t="str">
        <f>VLOOKUP(G499,Table4[[#All],[Cost Center]:[Client Type]],3,TRUE)</f>
        <v>ORA Zed PKGs A &amp; D</v>
      </c>
      <c r="J499" t="str">
        <f>VLOOKUP(G499,Table4[[#All],[Cost Center]:[Client Type]],5,TRUE)</f>
        <v>Osama Mezayn</v>
      </c>
    </row>
    <row r="500" spans="6:10" x14ac:dyDescent="0.25">
      <c r="F500" t="s">
        <v>111</v>
      </c>
      <c r="G500" s="7" cm="1">
        <f t="array" ref="G500">INT(planned(F500))</f>
        <v>137</v>
      </c>
      <c r="H500">
        <f>VLOOKUP(G500,Table4[[#All],[Cost Center]:[Client Type]],2,TRUE)</f>
        <v>1</v>
      </c>
      <c r="I500" t="str">
        <f>VLOOKUP(G500,Table4[[#All],[Cost Center]:[Client Type]],3,TRUE)</f>
        <v>ORA Zed PKGs A &amp; D</v>
      </c>
      <c r="J500" t="str">
        <f>VLOOKUP(G500,Table4[[#All],[Cost Center]:[Client Type]],5,TRUE)</f>
        <v>Osama Mezayn</v>
      </c>
    </row>
    <row r="501" spans="6:10" x14ac:dyDescent="0.25">
      <c r="F501" t="s">
        <v>111</v>
      </c>
      <c r="G501" s="7" cm="1">
        <f t="array" ref="G501">INT(planned(F501))</f>
        <v>137</v>
      </c>
      <c r="H501">
        <f>VLOOKUP(G501,Table4[[#All],[Cost Center]:[Client Type]],2,TRUE)</f>
        <v>1</v>
      </c>
      <c r="I501" t="str">
        <f>VLOOKUP(G501,Table4[[#All],[Cost Center]:[Client Type]],3,TRUE)</f>
        <v>ORA Zed PKGs A &amp; D</v>
      </c>
      <c r="J501" t="str">
        <f>VLOOKUP(G501,Table4[[#All],[Cost Center]:[Client Type]],5,TRUE)</f>
        <v>Osama Mezayn</v>
      </c>
    </row>
    <row r="502" spans="6:10" x14ac:dyDescent="0.25">
      <c r="F502" t="s">
        <v>111</v>
      </c>
      <c r="G502" s="7" cm="1">
        <f t="array" ref="G502">INT(planned(F502))</f>
        <v>137</v>
      </c>
      <c r="H502">
        <f>VLOOKUP(G502,Table4[[#All],[Cost Center]:[Client Type]],2,TRUE)</f>
        <v>1</v>
      </c>
      <c r="I502" t="str">
        <f>VLOOKUP(G502,Table4[[#All],[Cost Center]:[Client Type]],3,TRUE)</f>
        <v>ORA Zed PKGs A &amp; D</v>
      </c>
      <c r="J502" t="str">
        <f>VLOOKUP(G502,Table4[[#All],[Cost Center]:[Client Type]],5,TRUE)</f>
        <v>Osama Mezayn</v>
      </c>
    </row>
    <row r="503" spans="6:10" x14ac:dyDescent="0.25">
      <c r="F503" t="s">
        <v>111</v>
      </c>
      <c r="G503" s="7" cm="1">
        <f t="array" ref="G503">INT(planned(F503))</f>
        <v>137</v>
      </c>
      <c r="H503">
        <f>VLOOKUP(G503,Table4[[#All],[Cost Center]:[Client Type]],2,TRUE)</f>
        <v>1</v>
      </c>
      <c r="I503" t="str">
        <f>VLOOKUP(G503,Table4[[#All],[Cost Center]:[Client Type]],3,TRUE)</f>
        <v>ORA Zed PKGs A &amp; D</v>
      </c>
      <c r="J503" t="str">
        <f>VLOOKUP(G503,Table4[[#All],[Cost Center]:[Client Type]],5,TRUE)</f>
        <v>Osama Mezayn</v>
      </c>
    </row>
    <row r="504" spans="6:10" x14ac:dyDescent="0.25">
      <c r="F504" t="s">
        <v>111</v>
      </c>
      <c r="G504" s="7" cm="1">
        <f t="array" ref="G504">INT(planned(F504))</f>
        <v>137</v>
      </c>
      <c r="H504">
        <f>VLOOKUP(G504,Table4[[#All],[Cost Center]:[Client Type]],2,TRUE)</f>
        <v>1</v>
      </c>
      <c r="I504" t="str">
        <f>VLOOKUP(G504,Table4[[#All],[Cost Center]:[Client Type]],3,TRUE)</f>
        <v>ORA Zed PKGs A &amp; D</v>
      </c>
      <c r="J504" t="str">
        <f>VLOOKUP(G504,Table4[[#All],[Cost Center]:[Client Type]],5,TRUE)</f>
        <v>Osama Mezayn</v>
      </c>
    </row>
    <row r="505" spans="6:10" x14ac:dyDescent="0.25">
      <c r="F505" t="s">
        <v>111</v>
      </c>
      <c r="G505" s="7" cm="1">
        <f t="array" ref="G505">INT(planned(F505))</f>
        <v>137</v>
      </c>
      <c r="H505">
        <f>VLOOKUP(G505,Table4[[#All],[Cost Center]:[Client Type]],2,TRUE)</f>
        <v>1</v>
      </c>
      <c r="I505" t="str">
        <f>VLOOKUP(G505,Table4[[#All],[Cost Center]:[Client Type]],3,TRUE)</f>
        <v>ORA Zed PKGs A &amp; D</v>
      </c>
      <c r="J505" t="str">
        <f>VLOOKUP(G505,Table4[[#All],[Cost Center]:[Client Type]],5,TRUE)</f>
        <v>Osama Mezayn</v>
      </c>
    </row>
    <row r="506" spans="6:10" x14ac:dyDescent="0.25">
      <c r="F506" t="s">
        <v>111</v>
      </c>
      <c r="G506" s="7" cm="1">
        <f t="array" ref="G506">INT(planned(F506))</f>
        <v>137</v>
      </c>
      <c r="H506">
        <f>VLOOKUP(G506,Table4[[#All],[Cost Center]:[Client Type]],2,TRUE)</f>
        <v>1</v>
      </c>
      <c r="I506" t="str">
        <f>VLOOKUP(G506,Table4[[#All],[Cost Center]:[Client Type]],3,TRUE)</f>
        <v>ORA Zed PKGs A &amp; D</v>
      </c>
      <c r="J506" t="str">
        <f>VLOOKUP(G506,Table4[[#All],[Cost Center]:[Client Type]],5,TRUE)</f>
        <v>Osama Mezayn</v>
      </c>
    </row>
    <row r="507" spans="6:10" x14ac:dyDescent="0.25">
      <c r="F507" t="s">
        <v>111</v>
      </c>
      <c r="G507" s="7" cm="1">
        <f t="array" ref="G507">INT(planned(F507))</f>
        <v>137</v>
      </c>
      <c r="H507">
        <f>VLOOKUP(G507,Table4[[#All],[Cost Center]:[Client Type]],2,TRUE)</f>
        <v>1</v>
      </c>
      <c r="I507" t="str">
        <f>VLOOKUP(G507,Table4[[#All],[Cost Center]:[Client Type]],3,TRUE)</f>
        <v>ORA Zed PKGs A &amp; D</v>
      </c>
      <c r="J507" t="str">
        <f>VLOOKUP(G507,Table4[[#All],[Cost Center]:[Client Type]],5,TRUE)</f>
        <v>Osama Mezayn</v>
      </c>
    </row>
    <row r="508" spans="6:10" x14ac:dyDescent="0.25">
      <c r="F508" t="s">
        <v>111</v>
      </c>
      <c r="G508" s="7" cm="1">
        <f t="array" ref="G508">INT(planned(F508))</f>
        <v>137</v>
      </c>
      <c r="H508">
        <f>VLOOKUP(G508,Table4[[#All],[Cost Center]:[Client Type]],2,TRUE)</f>
        <v>1</v>
      </c>
      <c r="I508" t="str">
        <f>VLOOKUP(G508,Table4[[#All],[Cost Center]:[Client Type]],3,TRUE)</f>
        <v>ORA Zed PKGs A &amp; D</v>
      </c>
      <c r="J508" t="str">
        <f>VLOOKUP(G508,Table4[[#All],[Cost Center]:[Client Type]],5,TRUE)</f>
        <v>Osama Mezayn</v>
      </c>
    </row>
    <row r="509" spans="6:10" x14ac:dyDescent="0.25">
      <c r="F509" t="s">
        <v>111</v>
      </c>
      <c r="G509" s="7" cm="1">
        <f t="array" ref="G509">INT(planned(F509))</f>
        <v>137</v>
      </c>
      <c r="H509">
        <f>VLOOKUP(G509,Table4[[#All],[Cost Center]:[Client Type]],2,TRUE)</f>
        <v>1</v>
      </c>
      <c r="I509" t="str">
        <f>VLOOKUP(G509,Table4[[#All],[Cost Center]:[Client Type]],3,TRUE)</f>
        <v>ORA Zed PKGs A &amp; D</v>
      </c>
      <c r="J509" t="str">
        <f>VLOOKUP(G509,Table4[[#All],[Cost Center]:[Client Type]],5,TRUE)</f>
        <v>Osama Mezayn</v>
      </c>
    </row>
    <row r="510" spans="6:10" x14ac:dyDescent="0.25">
      <c r="F510" t="s">
        <v>111</v>
      </c>
      <c r="G510" s="7" cm="1">
        <f t="array" ref="G510">INT(planned(F510))</f>
        <v>137</v>
      </c>
      <c r="H510">
        <f>VLOOKUP(G510,Table4[[#All],[Cost Center]:[Client Type]],2,TRUE)</f>
        <v>1</v>
      </c>
      <c r="I510" t="str">
        <f>VLOOKUP(G510,Table4[[#All],[Cost Center]:[Client Type]],3,TRUE)</f>
        <v>ORA Zed PKGs A &amp; D</v>
      </c>
      <c r="J510" t="str">
        <f>VLOOKUP(G510,Table4[[#All],[Cost Center]:[Client Type]],5,TRUE)</f>
        <v>Osama Mezayn</v>
      </c>
    </row>
    <row r="511" spans="6:10" x14ac:dyDescent="0.25">
      <c r="F511" t="s">
        <v>111</v>
      </c>
      <c r="G511" s="7" cm="1">
        <f t="array" ref="G511">INT(planned(F511))</f>
        <v>137</v>
      </c>
      <c r="H511">
        <f>VLOOKUP(G511,Table4[[#All],[Cost Center]:[Client Type]],2,TRUE)</f>
        <v>1</v>
      </c>
      <c r="I511" t="str">
        <f>VLOOKUP(G511,Table4[[#All],[Cost Center]:[Client Type]],3,TRUE)</f>
        <v>ORA Zed PKGs A &amp; D</v>
      </c>
      <c r="J511" t="str">
        <f>VLOOKUP(G511,Table4[[#All],[Cost Center]:[Client Type]],5,TRUE)</f>
        <v>Osama Mezayn</v>
      </c>
    </row>
    <row r="512" spans="6:10" x14ac:dyDescent="0.25">
      <c r="F512" t="s">
        <v>111</v>
      </c>
      <c r="G512" s="7" cm="1">
        <f t="array" ref="G512">INT(planned(F512))</f>
        <v>137</v>
      </c>
      <c r="H512">
        <f>VLOOKUP(G512,Table4[[#All],[Cost Center]:[Client Type]],2,TRUE)</f>
        <v>1</v>
      </c>
      <c r="I512" t="str">
        <f>VLOOKUP(G512,Table4[[#All],[Cost Center]:[Client Type]],3,TRUE)</f>
        <v>ORA Zed PKGs A &amp; D</v>
      </c>
      <c r="J512" t="str">
        <f>VLOOKUP(G512,Table4[[#All],[Cost Center]:[Client Type]],5,TRUE)</f>
        <v>Osama Mezayn</v>
      </c>
    </row>
    <row r="513" spans="6:10" x14ac:dyDescent="0.25">
      <c r="F513" t="s">
        <v>111</v>
      </c>
      <c r="G513" s="7" cm="1">
        <f t="array" ref="G513">INT(planned(F513))</f>
        <v>137</v>
      </c>
      <c r="H513">
        <f>VLOOKUP(G513,Table4[[#All],[Cost Center]:[Client Type]],2,TRUE)</f>
        <v>1</v>
      </c>
      <c r="I513" t="str">
        <f>VLOOKUP(G513,Table4[[#All],[Cost Center]:[Client Type]],3,TRUE)</f>
        <v>ORA Zed PKGs A &amp; D</v>
      </c>
      <c r="J513" t="str">
        <f>VLOOKUP(G513,Table4[[#All],[Cost Center]:[Client Type]],5,TRUE)</f>
        <v>Osama Mezayn</v>
      </c>
    </row>
    <row r="514" spans="6:10" x14ac:dyDescent="0.25">
      <c r="F514" t="s">
        <v>111</v>
      </c>
      <c r="G514" s="7" cm="1">
        <f t="array" ref="G514">INT(planned(F514))</f>
        <v>137</v>
      </c>
      <c r="H514">
        <f>VLOOKUP(G514,Table4[[#All],[Cost Center]:[Client Type]],2,TRUE)</f>
        <v>1</v>
      </c>
      <c r="I514" t="str">
        <f>VLOOKUP(G514,Table4[[#All],[Cost Center]:[Client Type]],3,TRUE)</f>
        <v>ORA Zed PKGs A &amp; D</v>
      </c>
      <c r="J514" t="str">
        <f>VLOOKUP(G514,Table4[[#All],[Cost Center]:[Client Type]],5,TRUE)</f>
        <v>Osama Mezayn</v>
      </c>
    </row>
    <row r="515" spans="6:10" x14ac:dyDescent="0.25">
      <c r="F515" t="s">
        <v>111</v>
      </c>
      <c r="G515" s="7" cm="1">
        <f t="array" ref="G515">INT(planned(F515))</f>
        <v>137</v>
      </c>
      <c r="H515">
        <f>VLOOKUP(G515,Table4[[#All],[Cost Center]:[Client Type]],2,TRUE)</f>
        <v>1</v>
      </c>
      <c r="I515" t="str">
        <f>VLOOKUP(G515,Table4[[#All],[Cost Center]:[Client Type]],3,TRUE)</f>
        <v>ORA Zed PKGs A &amp; D</v>
      </c>
      <c r="J515" t="str">
        <f>VLOOKUP(G515,Table4[[#All],[Cost Center]:[Client Type]],5,TRUE)</f>
        <v>Osama Mezayn</v>
      </c>
    </row>
    <row r="516" spans="6:10" x14ac:dyDescent="0.25">
      <c r="F516" t="s">
        <v>111</v>
      </c>
      <c r="G516" s="7" cm="1">
        <f t="array" ref="G516">INT(planned(F516))</f>
        <v>137</v>
      </c>
      <c r="H516">
        <f>VLOOKUP(G516,Table4[[#All],[Cost Center]:[Client Type]],2,TRUE)</f>
        <v>1</v>
      </c>
      <c r="I516" t="str">
        <f>VLOOKUP(G516,Table4[[#All],[Cost Center]:[Client Type]],3,TRUE)</f>
        <v>ORA Zed PKGs A &amp; D</v>
      </c>
      <c r="J516" t="str">
        <f>VLOOKUP(G516,Table4[[#All],[Cost Center]:[Client Type]],5,TRUE)</f>
        <v>Osama Mezayn</v>
      </c>
    </row>
    <row r="517" spans="6:10" x14ac:dyDescent="0.25">
      <c r="F517" t="s">
        <v>111</v>
      </c>
      <c r="G517" s="7" cm="1">
        <f t="array" ref="G517">INT(planned(F517))</f>
        <v>137</v>
      </c>
      <c r="H517">
        <f>VLOOKUP(G517,Table4[[#All],[Cost Center]:[Client Type]],2,TRUE)</f>
        <v>1</v>
      </c>
      <c r="I517" t="str">
        <f>VLOOKUP(G517,Table4[[#All],[Cost Center]:[Client Type]],3,TRUE)</f>
        <v>ORA Zed PKGs A &amp; D</v>
      </c>
      <c r="J517" t="str">
        <f>VLOOKUP(G517,Table4[[#All],[Cost Center]:[Client Type]],5,TRUE)</f>
        <v>Osama Mezayn</v>
      </c>
    </row>
    <row r="518" spans="6:10" x14ac:dyDescent="0.25">
      <c r="F518" t="s">
        <v>111</v>
      </c>
      <c r="G518" s="7" cm="1">
        <f t="array" ref="G518">INT(planned(F518))</f>
        <v>137</v>
      </c>
      <c r="H518">
        <f>VLOOKUP(G518,Table4[[#All],[Cost Center]:[Client Type]],2,TRUE)</f>
        <v>1</v>
      </c>
      <c r="I518" t="str">
        <f>VLOOKUP(G518,Table4[[#All],[Cost Center]:[Client Type]],3,TRUE)</f>
        <v>ORA Zed PKGs A &amp; D</v>
      </c>
      <c r="J518" t="str">
        <f>VLOOKUP(G518,Table4[[#All],[Cost Center]:[Client Type]],5,TRUE)</f>
        <v>Osama Mezayn</v>
      </c>
    </row>
    <row r="519" spans="6:10" x14ac:dyDescent="0.25">
      <c r="F519" t="s">
        <v>111</v>
      </c>
      <c r="G519" s="7" cm="1">
        <f t="array" ref="G519">INT(planned(F519))</f>
        <v>137</v>
      </c>
      <c r="H519">
        <f>VLOOKUP(G519,Table4[[#All],[Cost Center]:[Client Type]],2,TRUE)</f>
        <v>1</v>
      </c>
      <c r="I519" t="str">
        <f>VLOOKUP(G519,Table4[[#All],[Cost Center]:[Client Type]],3,TRUE)</f>
        <v>ORA Zed PKGs A &amp; D</v>
      </c>
      <c r="J519" t="str">
        <f>VLOOKUP(G519,Table4[[#All],[Cost Center]:[Client Type]],5,TRUE)</f>
        <v>Osama Mezayn</v>
      </c>
    </row>
    <row r="520" spans="6:10" x14ac:dyDescent="0.25">
      <c r="F520" t="s">
        <v>111</v>
      </c>
      <c r="G520" s="7" cm="1">
        <f t="array" ref="G520">INT(planned(F520))</f>
        <v>137</v>
      </c>
      <c r="H520">
        <f>VLOOKUP(G520,Table4[[#All],[Cost Center]:[Client Type]],2,TRUE)</f>
        <v>1</v>
      </c>
      <c r="I520" t="str">
        <f>VLOOKUP(G520,Table4[[#All],[Cost Center]:[Client Type]],3,TRUE)</f>
        <v>ORA Zed PKGs A &amp; D</v>
      </c>
      <c r="J520" t="str">
        <f>VLOOKUP(G520,Table4[[#All],[Cost Center]:[Client Type]],5,TRUE)</f>
        <v>Osama Mezayn</v>
      </c>
    </row>
    <row r="521" spans="6:10" x14ac:dyDescent="0.25">
      <c r="F521" t="s">
        <v>111</v>
      </c>
      <c r="G521" s="7" cm="1">
        <f t="array" ref="G521">INT(planned(F521))</f>
        <v>137</v>
      </c>
      <c r="H521">
        <f>VLOOKUP(G521,Table4[[#All],[Cost Center]:[Client Type]],2,TRUE)</f>
        <v>1</v>
      </c>
      <c r="I521" t="str">
        <f>VLOOKUP(G521,Table4[[#All],[Cost Center]:[Client Type]],3,TRUE)</f>
        <v>ORA Zed PKGs A &amp; D</v>
      </c>
      <c r="J521" t="str">
        <f>VLOOKUP(G521,Table4[[#All],[Cost Center]:[Client Type]],5,TRUE)</f>
        <v>Osama Mezayn</v>
      </c>
    </row>
    <row r="522" spans="6:10" x14ac:dyDescent="0.25">
      <c r="F522" t="s">
        <v>111</v>
      </c>
      <c r="G522" s="7" cm="1">
        <f t="array" ref="G522">INT(planned(F522))</f>
        <v>137</v>
      </c>
      <c r="H522">
        <f>VLOOKUP(G522,Table4[[#All],[Cost Center]:[Client Type]],2,TRUE)</f>
        <v>1</v>
      </c>
      <c r="I522" t="str">
        <f>VLOOKUP(G522,Table4[[#All],[Cost Center]:[Client Type]],3,TRUE)</f>
        <v>ORA Zed PKGs A &amp; D</v>
      </c>
      <c r="J522" t="str">
        <f>VLOOKUP(G522,Table4[[#All],[Cost Center]:[Client Type]],5,TRUE)</f>
        <v>Osama Mezayn</v>
      </c>
    </row>
    <row r="523" spans="6:10" x14ac:dyDescent="0.25">
      <c r="F523" t="s">
        <v>111</v>
      </c>
      <c r="G523" s="7" cm="1">
        <f t="array" ref="G523">INT(planned(F523))</f>
        <v>137</v>
      </c>
      <c r="H523">
        <f>VLOOKUP(G523,Table4[[#All],[Cost Center]:[Client Type]],2,TRUE)</f>
        <v>1</v>
      </c>
      <c r="I523" t="str">
        <f>VLOOKUP(G523,Table4[[#All],[Cost Center]:[Client Type]],3,TRUE)</f>
        <v>ORA Zed PKGs A &amp; D</v>
      </c>
      <c r="J523" t="str">
        <f>VLOOKUP(G523,Table4[[#All],[Cost Center]:[Client Type]],5,TRUE)</f>
        <v>Osama Mezayn</v>
      </c>
    </row>
    <row r="524" spans="6:10" x14ac:dyDescent="0.25">
      <c r="F524" t="s">
        <v>111</v>
      </c>
      <c r="G524" s="7" cm="1">
        <f t="array" ref="G524">INT(planned(F524))</f>
        <v>137</v>
      </c>
      <c r="H524">
        <f>VLOOKUP(G524,Table4[[#All],[Cost Center]:[Client Type]],2,TRUE)</f>
        <v>1</v>
      </c>
      <c r="I524" t="str">
        <f>VLOOKUP(G524,Table4[[#All],[Cost Center]:[Client Type]],3,TRUE)</f>
        <v>ORA Zed PKGs A &amp; D</v>
      </c>
      <c r="J524" t="str">
        <f>VLOOKUP(G524,Table4[[#All],[Cost Center]:[Client Type]],5,TRUE)</f>
        <v>Osama Mezayn</v>
      </c>
    </row>
    <row r="525" spans="6:10" x14ac:dyDescent="0.25">
      <c r="F525" t="s">
        <v>111</v>
      </c>
      <c r="G525" s="7" cm="1">
        <f t="array" ref="G525">INT(planned(F525))</f>
        <v>137</v>
      </c>
      <c r="H525">
        <f>VLOOKUP(G525,Table4[[#All],[Cost Center]:[Client Type]],2,TRUE)</f>
        <v>1</v>
      </c>
      <c r="I525" t="str">
        <f>VLOOKUP(G525,Table4[[#All],[Cost Center]:[Client Type]],3,TRUE)</f>
        <v>ORA Zed PKGs A &amp; D</v>
      </c>
      <c r="J525" t="str">
        <f>VLOOKUP(G525,Table4[[#All],[Cost Center]:[Client Type]],5,TRUE)</f>
        <v>Osama Mezayn</v>
      </c>
    </row>
    <row r="526" spans="6:10" x14ac:dyDescent="0.25">
      <c r="F526" t="s">
        <v>111</v>
      </c>
      <c r="G526" s="7" cm="1">
        <f t="array" ref="G526">INT(planned(F526))</f>
        <v>137</v>
      </c>
      <c r="H526">
        <f>VLOOKUP(G526,Table4[[#All],[Cost Center]:[Client Type]],2,TRUE)</f>
        <v>1</v>
      </c>
      <c r="I526" t="str">
        <f>VLOOKUP(G526,Table4[[#All],[Cost Center]:[Client Type]],3,TRUE)</f>
        <v>ORA Zed PKGs A &amp; D</v>
      </c>
      <c r="J526" t="str">
        <f>VLOOKUP(G526,Table4[[#All],[Cost Center]:[Client Type]],5,TRUE)</f>
        <v>Osama Mezayn</v>
      </c>
    </row>
    <row r="527" spans="6:10" x14ac:dyDescent="0.25">
      <c r="F527" t="s">
        <v>111</v>
      </c>
      <c r="G527" s="7" cm="1">
        <f t="array" ref="G527">INT(planned(F527))</f>
        <v>137</v>
      </c>
      <c r="H527">
        <f>VLOOKUP(G527,Table4[[#All],[Cost Center]:[Client Type]],2,TRUE)</f>
        <v>1</v>
      </c>
      <c r="I527" t="str">
        <f>VLOOKUP(G527,Table4[[#All],[Cost Center]:[Client Type]],3,TRUE)</f>
        <v>ORA Zed PKGs A &amp; D</v>
      </c>
      <c r="J527" t="str">
        <f>VLOOKUP(G527,Table4[[#All],[Cost Center]:[Client Type]],5,TRUE)</f>
        <v>Osama Mezayn</v>
      </c>
    </row>
    <row r="528" spans="6:10" x14ac:dyDescent="0.25">
      <c r="F528" t="s">
        <v>111</v>
      </c>
      <c r="G528" s="7" cm="1">
        <f t="array" ref="G528">INT(planned(F528))</f>
        <v>137</v>
      </c>
      <c r="H528">
        <f>VLOOKUP(G528,Table4[[#All],[Cost Center]:[Client Type]],2,TRUE)</f>
        <v>1</v>
      </c>
      <c r="I528" t="str">
        <f>VLOOKUP(G528,Table4[[#All],[Cost Center]:[Client Type]],3,TRUE)</f>
        <v>ORA Zed PKGs A &amp; D</v>
      </c>
      <c r="J528" t="str">
        <f>VLOOKUP(G528,Table4[[#All],[Cost Center]:[Client Type]],5,TRUE)</f>
        <v>Osama Mezayn</v>
      </c>
    </row>
    <row r="529" spans="6:10" x14ac:dyDescent="0.25">
      <c r="F529" t="s">
        <v>111</v>
      </c>
      <c r="G529" s="7" cm="1">
        <f t="array" ref="G529">INT(planned(F529))</f>
        <v>137</v>
      </c>
      <c r="H529">
        <f>VLOOKUP(G529,Table4[[#All],[Cost Center]:[Client Type]],2,TRUE)</f>
        <v>1</v>
      </c>
      <c r="I529" t="str">
        <f>VLOOKUP(G529,Table4[[#All],[Cost Center]:[Client Type]],3,TRUE)</f>
        <v>ORA Zed PKGs A &amp; D</v>
      </c>
      <c r="J529" t="str">
        <f>VLOOKUP(G529,Table4[[#All],[Cost Center]:[Client Type]],5,TRUE)</f>
        <v>Osama Mezayn</v>
      </c>
    </row>
    <row r="530" spans="6:10" x14ac:dyDescent="0.25">
      <c r="F530" t="s">
        <v>111</v>
      </c>
      <c r="G530" s="7" cm="1">
        <f t="array" ref="G530">INT(planned(F530))</f>
        <v>137</v>
      </c>
      <c r="H530">
        <f>VLOOKUP(G530,Table4[[#All],[Cost Center]:[Client Type]],2,TRUE)</f>
        <v>1</v>
      </c>
      <c r="I530" t="str">
        <f>VLOOKUP(G530,Table4[[#All],[Cost Center]:[Client Type]],3,TRUE)</f>
        <v>ORA Zed PKGs A &amp; D</v>
      </c>
      <c r="J530" t="str">
        <f>VLOOKUP(G530,Table4[[#All],[Cost Center]:[Client Type]],5,TRUE)</f>
        <v>Osama Mezayn</v>
      </c>
    </row>
    <row r="531" spans="6:10" x14ac:dyDescent="0.25">
      <c r="F531" t="s">
        <v>111</v>
      </c>
      <c r="G531" s="7" cm="1">
        <f t="array" ref="G531">INT(planned(F531))</f>
        <v>137</v>
      </c>
      <c r="H531">
        <f>VLOOKUP(G531,Table4[[#All],[Cost Center]:[Client Type]],2,TRUE)</f>
        <v>1</v>
      </c>
      <c r="I531" t="str">
        <f>VLOOKUP(G531,Table4[[#All],[Cost Center]:[Client Type]],3,TRUE)</f>
        <v>ORA Zed PKGs A &amp; D</v>
      </c>
      <c r="J531" t="str">
        <f>VLOOKUP(G531,Table4[[#All],[Cost Center]:[Client Type]],5,TRUE)</f>
        <v>Osama Mezayn</v>
      </c>
    </row>
    <row r="532" spans="6:10" x14ac:dyDescent="0.25">
      <c r="F532" t="s">
        <v>111</v>
      </c>
      <c r="G532" s="7" cm="1">
        <f t="array" ref="G532">INT(planned(F532))</f>
        <v>137</v>
      </c>
      <c r="H532">
        <f>VLOOKUP(G532,Table4[[#All],[Cost Center]:[Client Type]],2,TRUE)</f>
        <v>1</v>
      </c>
      <c r="I532" t="str">
        <f>VLOOKUP(G532,Table4[[#All],[Cost Center]:[Client Type]],3,TRUE)</f>
        <v>ORA Zed PKGs A &amp; D</v>
      </c>
      <c r="J532" t="str">
        <f>VLOOKUP(G532,Table4[[#All],[Cost Center]:[Client Type]],5,TRUE)</f>
        <v>Osama Mezayn</v>
      </c>
    </row>
    <row r="533" spans="6:10" x14ac:dyDescent="0.25">
      <c r="F533" t="s">
        <v>111</v>
      </c>
      <c r="G533" s="7" cm="1">
        <f t="array" ref="G533">INT(planned(F533))</f>
        <v>137</v>
      </c>
      <c r="H533">
        <f>VLOOKUP(G533,Table4[[#All],[Cost Center]:[Client Type]],2,TRUE)</f>
        <v>1</v>
      </c>
      <c r="I533" t="str">
        <f>VLOOKUP(G533,Table4[[#All],[Cost Center]:[Client Type]],3,TRUE)</f>
        <v>ORA Zed PKGs A &amp; D</v>
      </c>
      <c r="J533" t="str">
        <f>VLOOKUP(G533,Table4[[#All],[Cost Center]:[Client Type]],5,TRUE)</f>
        <v>Osama Mezayn</v>
      </c>
    </row>
    <row r="534" spans="6:10" x14ac:dyDescent="0.25">
      <c r="F534" t="s">
        <v>111</v>
      </c>
      <c r="G534" s="7" cm="1">
        <f t="array" ref="G534">INT(planned(F534))</f>
        <v>137</v>
      </c>
      <c r="H534">
        <f>VLOOKUP(G534,Table4[[#All],[Cost Center]:[Client Type]],2,TRUE)</f>
        <v>1</v>
      </c>
      <c r="I534" t="str">
        <f>VLOOKUP(G534,Table4[[#All],[Cost Center]:[Client Type]],3,TRUE)</f>
        <v>ORA Zed PKGs A &amp; D</v>
      </c>
      <c r="J534" t="str">
        <f>VLOOKUP(G534,Table4[[#All],[Cost Center]:[Client Type]],5,TRUE)</f>
        <v>Osama Mezayn</v>
      </c>
    </row>
    <row r="535" spans="6:10" x14ac:dyDescent="0.25">
      <c r="F535" t="s">
        <v>111</v>
      </c>
      <c r="G535" s="7" cm="1">
        <f t="array" ref="G535">INT(planned(F535))</f>
        <v>137</v>
      </c>
      <c r="H535">
        <f>VLOOKUP(G535,Table4[[#All],[Cost Center]:[Client Type]],2,TRUE)</f>
        <v>1</v>
      </c>
      <c r="I535" t="str">
        <f>VLOOKUP(G535,Table4[[#All],[Cost Center]:[Client Type]],3,TRUE)</f>
        <v>ORA Zed PKGs A &amp; D</v>
      </c>
      <c r="J535" t="str">
        <f>VLOOKUP(G535,Table4[[#All],[Cost Center]:[Client Type]],5,TRUE)</f>
        <v>Osama Mezayn</v>
      </c>
    </row>
    <row r="536" spans="6:10" x14ac:dyDescent="0.25">
      <c r="F536" t="s">
        <v>111</v>
      </c>
      <c r="G536" s="7" cm="1">
        <f t="array" ref="G536">INT(planned(F536))</f>
        <v>137</v>
      </c>
      <c r="H536">
        <f>VLOOKUP(G536,Table4[[#All],[Cost Center]:[Client Type]],2,TRUE)</f>
        <v>1</v>
      </c>
      <c r="I536" t="str">
        <f>VLOOKUP(G536,Table4[[#All],[Cost Center]:[Client Type]],3,TRUE)</f>
        <v>ORA Zed PKGs A &amp; D</v>
      </c>
      <c r="J536" t="str">
        <f>VLOOKUP(G536,Table4[[#All],[Cost Center]:[Client Type]],5,TRUE)</f>
        <v>Osama Mezayn</v>
      </c>
    </row>
    <row r="537" spans="6:10" x14ac:dyDescent="0.25">
      <c r="F537" t="s">
        <v>111</v>
      </c>
      <c r="G537" s="7" cm="1">
        <f t="array" ref="G537">INT(planned(F537))</f>
        <v>137</v>
      </c>
      <c r="H537">
        <f>VLOOKUP(G537,Table4[[#All],[Cost Center]:[Client Type]],2,TRUE)</f>
        <v>1</v>
      </c>
      <c r="I537" t="str">
        <f>VLOOKUP(G537,Table4[[#All],[Cost Center]:[Client Type]],3,TRUE)</f>
        <v>ORA Zed PKGs A &amp; D</v>
      </c>
      <c r="J537" t="str">
        <f>VLOOKUP(G537,Table4[[#All],[Cost Center]:[Client Type]],5,TRUE)</f>
        <v>Osama Mezayn</v>
      </c>
    </row>
    <row r="538" spans="6:10" x14ac:dyDescent="0.25">
      <c r="F538" t="s">
        <v>111</v>
      </c>
      <c r="G538" s="7" cm="1">
        <f t="array" ref="G538">INT(planned(F538))</f>
        <v>137</v>
      </c>
      <c r="H538">
        <f>VLOOKUP(G538,Table4[[#All],[Cost Center]:[Client Type]],2,TRUE)</f>
        <v>1</v>
      </c>
      <c r="I538" t="str">
        <f>VLOOKUP(G538,Table4[[#All],[Cost Center]:[Client Type]],3,TRUE)</f>
        <v>ORA Zed PKGs A &amp; D</v>
      </c>
      <c r="J538" t="str">
        <f>VLOOKUP(G538,Table4[[#All],[Cost Center]:[Client Type]],5,TRUE)</f>
        <v>Osama Mezayn</v>
      </c>
    </row>
    <row r="539" spans="6:10" x14ac:dyDescent="0.25">
      <c r="F539" t="s">
        <v>111</v>
      </c>
      <c r="G539" s="7" cm="1">
        <f t="array" ref="G539">INT(planned(F539))</f>
        <v>137</v>
      </c>
      <c r="H539">
        <f>VLOOKUP(G539,Table4[[#All],[Cost Center]:[Client Type]],2,TRUE)</f>
        <v>1</v>
      </c>
      <c r="I539" t="str">
        <f>VLOOKUP(G539,Table4[[#All],[Cost Center]:[Client Type]],3,TRUE)</f>
        <v>ORA Zed PKGs A &amp; D</v>
      </c>
      <c r="J539" t="str">
        <f>VLOOKUP(G539,Table4[[#All],[Cost Center]:[Client Type]],5,TRUE)</f>
        <v>Osama Mezayn</v>
      </c>
    </row>
    <row r="540" spans="6:10" x14ac:dyDescent="0.25">
      <c r="F540" t="s">
        <v>111</v>
      </c>
      <c r="G540" s="7" cm="1">
        <f t="array" ref="G540">INT(planned(F540))</f>
        <v>137</v>
      </c>
      <c r="H540">
        <f>VLOOKUP(G540,Table4[[#All],[Cost Center]:[Client Type]],2,TRUE)</f>
        <v>1</v>
      </c>
      <c r="I540" t="str">
        <f>VLOOKUP(G540,Table4[[#All],[Cost Center]:[Client Type]],3,TRUE)</f>
        <v>ORA Zed PKGs A &amp; D</v>
      </c>
      <c r="J540" t="str">
        <f>VLOOKUP(G540,Table4[[#All],[Cost Center]:[Client Type]],5,TRUE)</f>
        <v>Osama Mezayn</v>
      </c>
    </row>
    <row r="541" spans="6:10" x14ac:dyDescent="0.25">
      <c r="F541" t="s">
        <v>111</v>
      </c>
      <c r="G541" s="7" cm="1">
        <f t="array" ref="G541">INT(planned(F541))</f>
        <v>137</v>
      </c>
      <c r="H541">
        <f>VLOOKUP(G541,Table4[[#All],[Cost Center]:[Client Type]],2,TRUE)</f>
        <v>1</v>
      </c>
      <c r="I541" t="str">
        <f>VLOOKUP(G541,Table4[[#All],[Cost Center]:[Client Type]],3,TRUE)</f>
        <v>ORA Zed PKGs A &amp; D</v>
      </c>
      <c r="J541" t="str">
        <f>VLOOKUP(G541,Table4[[#All],[Cost Center]:[Client Type]],5,TRUE)</f>
        <v>Osama Mezayn</v>
      </c>
    </row>
    <row r="542" spans="6:10" x14ac:dyDescent="0.25">
      <c r="F542" t="s">
        <v>111</v>
      </c>
      <c r="G542" s="7" cm="1">
        <f t="array" ref="G542">INT(planned(F542))</f>
        <v>137</v>
      </c>
      <c r="H542">
        <f>VLOOKUP(G542,Table4[[#All],[Cost Center]:[Client Type]],2,TRUE)</f>
        <v>1</v>
      </c>
      <c r="I542" t="str">
        <f>VLOOKUP(G542,Table4[[#All],[Cost Center]:[Client Type]],3,TRUE)</f>
        <v>ORA Zed PKGs A &amp; D</v>
      </c>
      <c r="J542" t="str">
        <f>VLOOKUP(G542,Table4[[#All],[Cost Center]:[Client Type]],5,TRUE)</f>
        <v>Osama Mezayn</v>
      </c>
    </row>
    <row r="543" spans="6:10" x14ac:dyDescent="0.25">
      <c r="F543" t="s">
        <v>111</v>
      </c>
      <c r="G543" s="7" cm="1">
        <f t="array" ref="G543">INT(planned(F543))</f>
        <v>137</v>
      </c>
      <c r="H543">
        <f>VLOOKUP(G543,Table4[[#All],[Cost Center]:[Client Type]],2,TRUE)</f>
        <v>1</v>
      </c>
      <c r="I543" t="str">
        <f>VLOOKUP(G543,Table4[[#All],[Cost Center]:[Client Type]],3,TRUE)</f>
        <v>ORA Zed PKGs A &amp; D</v>
      </c>
      <c r="J543" t="str">
        <f>VLOOKUP(G543,Table4[[#All],[Cost Center]:[Client Type]],5,TRUE)</f>
        <v>Osama Mezayn</v>
      </c>
    </row>
    <row r="544" spans="6:10" x14ac:dyDescent="0.25">
      <c r="F544" t="s">
        <v>111</v>
      </c>
      <c r="G544" s="7" cm="1">
        <f t="array" ref="G544">INT(planned(F544))</f>
        <v>137</v>
      </c>
      <c r="H544">
        <f>VLOOKUP(G544,Table4[[#All],[Cost Center]:[Client Type]],2,TRUE)</f>
        <v>1</v>
      </c>
      <c r="I544" t="str">
        <f>VLOOKUP(G544,Table4[[#All],[Cost Center]:[Client Type]],3,TRUE)</f>
        <v>ORA Zed PKGs A &amp; D</v>
      </c>
      <c r="J544" t="str">
        <f>VLOOKUP(G544,Table4[[#All],[Cost Center]:[Client Type]],5,TRUE)</f>
        <v>Osama Mezayn</v>
      </c>
    </row>
    <row r="545" spans="6:10" x14ac:dyDescent="0.25">
      <c r="F545" t="s">
        <v>111</v>
      </c>
      <c r="G545" s="7" cm="1">
        <f t="array" ref="G545">INT(planned(F545))</f>
        <v>137</v>
      </c>
      <c r="H545">
        <f>VLOOKUP(G545,Table4[[#All],[Cost Center]:[Client Type]],2,TRUE)</f>
        <v>1</v>
      </c>
      <c r="I545" t="str">
        <f>VLOOKUP(G545,Table4[[#All],[Cost Center]:[Client Type]],3,TRUE)</f>
        <v>ORA Zed PKGs A &amp; D</v>
      </c>
      <c r="J545" t="str">
        <f>VLOOKUP(G545,Table4[[#All],[Cost Center]:[Client Type]],5,TRUE)</f>
        <v>Osama Mezayn</v>
      </c>
    </row>
    <row r="546" spans="6:10" x14ac:dyDescent="0.25">
      <c r="F546" t="s">
        <v>111</v>
      </c>
      <c r="G546" s="7" cm="1">
        <f t="array" ref="G546">INT(planned(F546))</f>
        <v>137</v>
      </c>
      <c r="H546">
        <f>VLOOKUP(G546,Table4[[#All],[Cost Center]:[Client Type]],2,TRUE)</f>
        <v>1</v>
      </c>
      <c r="I546" t="str">
        <f>VLOOKUP(G546,Table4[[#All],[Cost Center]:[Client Type]],3,TRUE)</f>
        <v>ORA Zed PKGs A &amp; D</v>
      </c>
      <c r="J546" t="str">
        <f>VLOOKUP(G546,Table4[[#All],[Cost Center]:[Client Type]],5,TRUE)</f>
        <v>Osama Mezayn</v>
      </c>
    </row>
    <row r="547" spans="6:10" x14ac:dyDescent="0.25">
      <c r="F547" t="s">
        <v>111</v>
      </c>
      <c r="G547" s="7" cm="1">
        <f t="array" ref="G547">INT(planned(F547))</f>
        <v>137</v>
      </c>
      <c r="H547">
        <f>VLOOKUP(G547,Table4[[#All],[Cost Center]:[Client Type]],2,TRUE)</f>
        <v>1</v>
      </c>
      <c r="I547" t="str">
        <f>VLOOKUP(G547,Table4[[#All],[Cost Center]:[Client Type]],3,TRUE)</f>
        <v>ORA Zed PKGs A &amp; D</v>
      </c>
      <c r="J547" t="str">
        <f>VLOOKUP(G547,Table4[[#All],[Cost Center]:[Client Type]],5,TRUE)</f>
        <v>Osama Mezayn</v>
      </c>
    </row>
    <row r="548" spans="6:10" x14ac:dyDescent="0.25">
      <c r="F548" t="s">
        <v>111</v>
      </c>
      <c r="G548" s="7" cm="1">
        <f t="array" ref="G548">INT(planned(F548))</f>
        <v>137</v>
      </c>
      <c r="H548">
        <f>VLOOKUP(G548,Table4[[#All],[Cost Center]:[Client Type]],2,TRUE)</f>
        <v>1</v>
      </c>
      <c r="I548" t="str">
        <f>VLOOKUP(G548,Table4[[#All],[Cost Center]:[Client Type]],3,TRUE)</f>
        <v>ORA Zed PKGs A &amp; D</v>
      </c>
      <c r="J548" t="str">
        <f>VLOOKUP(G548,Table4[[#All],[Cost Center]:[Client Type]],5,TRUE)</f>
        <v>Osama Mezayn</v>
      </c>
    </row>
    <row r="549" spans="6:10" x14ac:dyDescent="0.25">
      <c r="F549" t="s">
        <v>111</v>
      </c>
      <c r="G549" s="7" cm="1">
        <f t="array" ref="G549">INT(planned(F549))</f>
        <v>137</v>
      </c>
      <c r="H549">
        <f>VLOOKUP(G549,Table4[[#All],[Cost Center]:[Client Type]],2,TRUE)</f>
        <v>1</v>
      </c>
      <c r="I549" t="str">
        <f>VLOOKUP(G549,Table4[[#All],[Cost Center]:[Client Type]],3,TRUE)</f>
        <v>ORA Zed PKGs A &amp; D</v>
      </c>
      <c r="J549" t="str">
        <f>VLOOKUP(G549,Table4[[#All],[Cost Center]:[Client Type]],5,TRUE)</f>
        <v>Osama Mezayn</v>
      </c>
    </row>
    <row r="550" spans="6:10" x14ac:dyDescent="0.25">
      <c r="F550" t="s">
        <v>111</v>
      </c>
      <c r="G550" s="7" cm="1">
        <f t="array" ref="G550">INT(planned(F550))</f>
        <v>137</v>
      </c>
      <c r="H550">
        <f>VLOOKUP(G550,Table4[[#All],[Cost Center]:[Client Type]],2,TRUE)</f>
        <v>1</v>
      </c>
      <c r="I550" t="str">
        <f>VLOOKUP(G550,Table4[[#All],[Cost Center]:[Client Type]],3,TRUE)</f>
        <v>ORA Zed PKGs A &amp; D</v>
      </c>
      <c r="J550" t="str">
        <f>VLOOKUP(G550,Table4[[#All],[Cost Center]:[Client Type]],5,TRUE)</f>
        <v>Osama Mezayn</v>
      </c>
    </row>
    <row r="551" spans="6:10" x14ac:dyDescent="0.25">
      <c r="F551" t="s">
        <v>111</v>
      </c>
      <c r="G551" s="7" cm="1">
        <f t="array" ref="G551">INT(planned(F551))</f>
        <v>137</v>
      </c>
      <c r="H551">
        <f>VLOOKUP(G551,Table4[[#All],[Cost Center]:[Client Type]],2,TRUE)</f>
        <v>1</v>
      </c>
      <c r="I551" t="str">
        <f>VLOOKUP(G551,Table4[[#All],[Cost Center]:[Client Type]],3,TRUE)</f>
        <v>ORA Zed PKGs A &amp; D</v>
      </c>
      <c r="J551" t="str">
        <f>VLOOKUP(G551,Table4[[#All],[Cost Center]:[Client Type]],5,TRUE)</f>
        <v>Osama Mezayn</v>
      </c>
    </row>
    <row r="552" spans="6:10" x14ac:dyDescent="0.25">
      <c r="F552" t="s">
        <v>111</v>
      </c>
      <c r="G552" s="7" cm="1">
        <f t="array" ref="G552">INT(planned(F552))</f>
        <v>137</v>
      </c>
      <c r="H552">
        <f>VLOOKUP(G552,Table4[[#All],[Cost Center]:[Client Type]],2,TRUE)</f>
        <v>1</v>
      </c>
      <c r="I552" t="str">
        <f>VLOOKUP(G552,Table4[[#All],[Cost Center]:[Client Type]],3,TRUE)</f>
        <v>ORA Zed PKGs A &amp; D</v>
      </c>
      <c r="J552" t="str">
        <f>VLOOKUP(G552,Table4[[#All],[Cost Center]:[Client Type]],5,TRUE)</f>
        <v>Osama Mezayn</v>
      </c>
    </row>
    <row r="553" spans="6:10" x14ac:dyDescent="0.25">
      <c r="F553" t="s">
        <v>111</v>
      </c>
      <c r="G553" s="7" cm="1">
        <f t="array" ref="G553">INT(planned(F553))</f>
        <v>137</v>
      </c>
      <c r="H553">
        <f>VLOOKUP(G553,Table4[[#All],[Cost Center]:[Client Type]],2,TRUE)</f>
        <v>1</v>
      </c>
      <c r="I553" t="str">
        <f>VLOOKUP(G553,Table4[[#All],[Cost Center]:[Client Type]],3,TRUE)</f>
        <v>ORA Zed PKGs A &amp; D</v>
      </c>
      <c r="J553" t="str">
        <f>VLOOKUP(G553,Table4[[#All],[Cost Center]:[Client Type]],5,TRUE)</f>
        <v>Osama Mezayn</v>
      </c>
    </row>
    <row r="554" spans="6:10" x14ac:dyDescent="0.25">
      <c r="F554" t="s">
        <v>111</v>
      </c>
      <c r="G554" s="7" cm="1">
        <f t="array" ref="G554">INT(planned(F554))</f>
        <v>137</v>
      </c>
      <c r="H554">
        <f>VLOOKUP(G554,Table4[[#All],[Cost Center]:[Client Type]],2,TRUE)</f>
        <v>1</v>
      </c>
      <c r="I554" t="str">
        <f>VLOOKUP(G554,Table4[[#All],[Cost Center]:[Client Type]],3,TRUE)</f>
        <v>ORA Zed PKGs A &amp; D</v>
      </c>
      <c r="J554" t="str">
        <f>VLOOKUP(G554,Table4[[#All],[Cost Center]:[Client Type]],5,TRUE)</f>
        <v>Osama Mezayn</v>
      </c>
    </row>
    <row r="555" spans="6:10" x14ac:dyDescent="0.25">
      <c r="F555" t="s">
        <v>111</v>
      </c>
      <c r="G555" s="7" cm="1">
        <f t="array" ref="G555">INT(planned(F555))</f>
        <v>137</v>
      </c>
      <c r="H555">
        <f>VLOOKUP(G555,Table4[[#All],[Cost Center]:[Client Type]],2,TRUE)</f>
        <v>1</v>
      </c>
      <c r="I555" t="str">
        <f>VLOOKUP(G555,Table4[[#All],[Cost Center]:[Client Type]],3,TRUE)</f>
        <v>ORA Zed PKGs A &amp; D</v>
      </c>
      <c r="J555" t="str">
        <f>VLOOKUP(G555,Table4[[#All],[Cost Center]:[Client Type]],5,TRUE)</f>
        <v>Osama Mezayn</v>
      </c>
    </row>
    <row r="556" spans="6:10" x14ac:dyDescent="0.25">
      <c r="F556" t="s">
        <v>111</v>
      </c>
      <c r="G556" s="7" cm="1">
        <f t="array" ref="G556">INT(planned(F556))</f>
        <v>137</v>
      </c>
      <c r="H556">
        <f>VLOOKUP(G556,Table4[[#All],[Cost Center]:[Client Type]],2,TRUE)</f>
        <v>1</v>
      </c>
      <c r="I556" t="str">
        <f>VLOOKUP(G556,Table4[[#All],[Cost Center]:[Client Type]],3,TRUE)</f>
        <v>ORA Zed PKGs A &amp; D</v>
      </c>
      <c r="J556" t="str">
        <f>VLOOKUP(G556,Table4[[#All],[Cost Center]:[Client Type]],5,TRUE)</f>
        <v>Osama Mezayn</v>
      </c>
    </row>
    <row r="557" spans="6:10" x14ac:dyDescent="0.25">
      <c r="F557" t="s">
        <v>111</v>
      </c>
      <c r="G557" s="7" cm="1">
        <f t="array" ref="G557">INT(planned(F557))</f>
        <v>137</v>
      </c>
      <c r="H557">
        <f>VLOOKUP(G557,Table4[[#All],[Cost Center]:[Client Type]],2,TRUE)</f>
        <v>1</v>
      </c>
      <c r="I557" t="str">
        <f>VLOOKUP(G557,Table4[[#All],[Cost Center]:[Client Type]],3,TRUE)</f>
        <v>ORA Zed PKGs A &amp; D</v>
      </c>
      <c r="J557" t="str">
        <f>VLOOKUP(G557,Table4[[#All],[Cost Center]:[Client Type]],5,TRUE)</f>
        <v>Osama Mezayn</v>
      </c>
    </row>
    <row r="558" spans="6:10" x14ac:dyDescent="0.25">
      <c r="F558" t="s">
        <v>111</v>
      </c>
      <c r="G558" s="7" cm="1">
        <f t="array" ref="G558">INT(planned(F558))</f>
        <v>137</v>
      </c>
      <c r="H558">
        <f>VLOOKUP(G558,Table4[[#All],[Cost Center]:[Client Type]],2,TRUE)</f>
        <v>1</v>
      </c>
      <c r="I558" t="str">
        <f>VLOOKUP(G558,Table4[[#All],[Cost Center]:[Client Type]],3,TRUE)</f>
        <v>ORA Zed PKGs A &amp; D</v>
      </c>
      <c r="J558" t="str">
        <f>VLOOKUP(G558,Table4[[#All],[Cost Center]:[Client Type]],5,TRUE)</f>
        <v>Osama Mezayn</v>
      </c>
    </row>
    <row r="559" spans="6:10" x14ac:dyDescent="0.25">
      <c r="F559" t="s">
        <v>111</v>
      </c>
      <c r="G559" s="7" cm="1">
        <f t="array" ref="G559">INT(planned(F559))</f>
        <v>137</v>
      </c>
      <c r="H559">
        <f>VLOOKUP(G559,Table4[[#All],[Cost Center]:[Client Type]],2,TRUE)</f>
        <v>1</v>
      </c>
      <c r="I559" t="str">
        <f>VLOOKUP(G559,Table4[[#All],[Cost Center]:[Client Type]],3,TRUE)</f>
        <v>ORA Zed PKGs A &amp; D</v>
      </c>
      <c r="J559" t="str">
        <f>VLOOKUP(G559,Table4[[#All],[Cost Center]:[Client Type]],5,TRUE)</f>
        <v>Osama Mezayn</v>
      </c>
    </row>
    <row r="560" spans="6:10" x14ac:dyDescent="0.25">
      <c r="F560" t="s">
        <v>111</v>
      </c>
      <c r="G560" s="7" cm="1">
        <f t="array" ref="G560">INT(planned(F560))</f>
        <v>137</v>
      </c>
      <c r="H560">
        <f>VLOOKUP(G560,Table4[[#All],[Cost Center]:[Client Type]],2,TRUE)</f>
        <v>1</v>
      </c>
      <c r="I560" t="str">
        <f>VLOOKUP(G560,Table4[[#All],[Cost Center]:[Client Type]],3,TRUE)</f>
        <v>ORA Zed PKGs A &amp; D</v>
      </c>
      <c r="J560" t="str">
        <f>VLOOKUP(G560,Table4[[#All],[Cost Center]:[Client Type]],5,TRUE)</f>
        <v>Osama Mezayn</v>
      </c>
    </row>
    <row r="561" spans="6:10" x14ac:dyDescent="0.25">
      <c r="F561" t="s">
        <v>111</v>
      </c>
      <c r="G561" s="7" cm="1">
        <f t="array" ref="G561">INT(planned(F561))</f>
        <v>137</v>
      </c>
      <c r="H561">
        <f>VLOOKUP(G561,Table4[[#All],[Cost Center]:[Client Type]],2,TRUE)</f>
        <v>1</v>
      </c>
      <c r="I561" t="str">
        <f>VLOOKUP(G561,Table4[[#All],[Cost Center]:[Client Type]],3,TRUE)</f>
        <v>ORA Zed PKGs A &amp; D</v>
      </c>
      <c r="J561" t="str">
        <f>VLOOKUP(G561,Table4[[#All],[Cost Center]:[Client Type]],5,TRUE)</f>
        <v>Osama Mezayn</v>
      </c>
    </row>
    <row r="562" spans="6:10" x14ac:dyDescent="0.25">
      <c r="F562" t="s">
        <v>111</v>
      </c>
      <c r="G562" s="7" cm="1">
        <f t="array" ref="G562">INT(planned(F562))</f>
        <v>137</v>
      </c>
      <c r="H562">
        <f>VLOOKUP(G562,Table4[[#All],[Cost Center]:[Client Type]],2,TRUE)</f>
        <v>1</v>
      </c>
      <c r="I562" t="str">
        <f>VLOOKUP(G562,Table4[[#All],[Cost Center]:[Client Type]],3,TRUE)</f>
        <v>ORA Zed PKGs A &amp; D</v>
      </c>
      <c r="J562" t="str">
        <f>VLOOKUP(G562,Table4[[#All],[Cost Center]:[Client Type]],5,TRUE)</f>
        <v>Osama Mezayn</v>
      </c>
    </row>
    <row r="563" spans="6:10" x14ac:dyDescent="0.25">
      <c r="F563" t="s">
        <v>111</v>
      </c>
      <c r="G563" s="7" cm="1">
        <f t="array" ref="G563">INT(planned(F563))</f>
        <v>137</v>
      </c>
      <c r="H563">
        <f>VLOOKUP(G563,Table4[[#All],[Cost Center]:[Client Type]],2,TRUE)</f>
        <v>1</v>
      </c>
      <c r="I563" t="str">
        <f>VLOOKUP(G563,Table4[[#All],[Cost Center]:[Client Type]],3,TRUE)</f>
        <v>ORA Zed PKGs A &amp; D</v>
      </c>
      <c r="J563" t="str">
        <f>VLOOKUP(G563,Table4[[#All],[Cost Center]:[Client Type]],5,TRUE)</f>
        <v>Osama Mezayn</v>
      </c>
    </row>
    <row r="564" spans="6:10" x14ac:dyDescent="0.25">
      <c r="F564" t="s">
        <v>111</v>
      </c>
      <c r="G564" s="7" cm="1">
        <f t="array" ref="G564">INT(planned(F564))</f>
        <v>137</v>
      </c>
      <c r="H564">
        <f>VLOOKUP(G564,Table4[[#All],[Cost Center]:[Client Type]],2,TRUE)</f>
        <v>1</v>
      </c>
      <c r="I564" t="str">
        <f>VLOOKUP(G564,Table4[[#All],[Cost Center]:[Client Type]],3,TRUE)</f>
        <v>ORA Zed PKGs A &amp; D</v>
      </c>
      <c r="J564" t="str">
        <f>VLOOKUP(G564,Table4[[#All],[Cost Center]:[Client Type]],5,TRUE)</f>
        <v>Osama Mezayn</v>
      </c>
    </row>
    <row r="565" spans="6:10" x14ac:dyDescent="0.25">
      <c r="F565" t="s">
        <v>111</v>
      </c>
      <c r="G565" s="7" cm="1">
        <f t="array" ref="G565">INT(planned(F565))</f>
        <v>137</v>
      </c>
      <c r="H565">
        <f>VLOOKUP(G565,Table4[[#All],[Cost Center]:[Client Type]],2,TRUE)</f>
        <v>1</v>
      </c>
      <c r="I565" t="str">
        <f>VLOOKUP(G565,Table4[[#All],[Cost Center]:[Client Type]],3,TRUE)</f>
        <v>ORA Zed PKGs A &amp; D</v>
      </c>
      <c r="J565" t="str">
        <f>VLOOKUP(G565,Table4[[#All],[Cost Center]:[Client Type]],5,TRUE)</f>
        <v>Osama Mezayn</v>
      </c>
    </row>
    <row r="566" spans="6:10" x14ac:dyDescent="0.25">
      <c r="F566" t="s">
        <v>111</v>
      </c>
      <c r="G566" s="7" cm="1">
        <f t="array" ref="G566">INT(planned(F566))</f>
        <v>137</v>
      </c>
      <c r="H566">
        <f>VLOOKUP(G566,Table4[[#All],[Cost Center]:[Client Type]],2,TRUE)</f>
        <v>1</v>
      </c>
      <c r="I566" t="str">
        <f>VLOOKUP(G566,Table4[[#All],[Cost Center]:[Client Type]],3,TRUE)</f>
        <v>ORA Zed PKGs A &amp; D</v>
      </c>
      <c r="J566" t="str">
        <f>VLOOKUP(G566,Table4[[#All],[Cost Center]:[Client Type]],5,TRUE)</f>
        <v>Osama Mezayn</v>
      </c>
    </row>
    <row r="567" spans="6:10" x14ac:dyDescent="0.25">
      <c r="F567" t="s">
        <v>111</v>
      </c>
      <c r="G567" s="7" cm="1">
        <f t="array" ref="G567">INT(planned(F567))</f>
        <v>137</v>
      </c>
      <c r="H567">
        <f>VLOOKUP(G567,Table4[[#All],[Cost Center]:[Client Type]],2,TRUE)</f>
        <v>1</v>
      </c>
      <c r="I567" t="str">
        <f>VLOOKUP(G567,Table4[[#All],[Cost Center]:[Client Type]],3,TRUE)</f>
        <v>ORA Zed PKGs A &amp; D</v>
      </c>
      <c r="J567" t="str">
        <f>VLOOKUP(G567,Table4[[#All],[Cost Center]:[Client Type]],5,TRUE)</f>
        <v>Osama Mezayn</v>
      </c>
    </row>
    <row r="568" spans="6:10" x14ac:dyDescent="0.25">
      <c r="F568" t="s">
        <v>111</v>
      </c>
      <c r="G568" s="7" cm="1">
        <f t="array" ref="G568">INT(planned(F568))</f>
        <v>137</v>
      </c>
      <c r="H568">
        <f>VLOOKUP(G568,Table4[[#All],[Cost Center]:[Client Type]],2,TRUE)</f>
        <v>1</v>
      </c>
      <c r="I568" t="str">
        <f>VLOOKUP(G568,Table4[[#All],[Cost Center]:[Client Type]],3,TRUE)</f>
        <v>ORA Zed PKGs A &amp; D</v>
      </c>
      <c r="J568" t="str">
        <f>VLOOKUP(G568,Table4[[#All],[Cost Center]:[Client Type]],5,TRUE)</f>
        <v>Osama Mezayn</v>
      </c>
    </row>
    <row r="569" spans="6:10" x14ac:dyDescent="0.25">
      <c r="F569" t="s">
        <v>111</v>
      </c>
      <c r="G569" s="7" cm="1">
        <f t="array" ref="G569">INT(planned(F569))</f>
        <v>137</v>
      </c>
      <c r="H569">
        <f>VLOOKUP(G569,Table4[[#All],[Cost Center]:[Client Type]],2,TRUE)</f>
        <v>1</v>
      </c>
      <c r="I569" t="str">
        <f>VLOOKUP(G569,Table4[[#All],[Cost Center]:[Client Type]],3,TRUE)</f>
        <v>ORA Zed PKGs A &amp; D</v>
      </c>
      <c r="J569" t="str">
        <f>VLOOKUP(G569,Table4[[#All],[Cost Center]:[Client Type]],5,TRUE)</f>
        <v>Osama Mezayn</v>
      </c>
    </row>
    <row r="570" spans="6:10" x14ac:dyDescent="0.25">
      <c r="F570" t="s">
        <v>111</v>
      </c>
      <c r="G570" s="7" cm="1">
        <f t="array" ref="G570">INT(planned(F570))</f>
        <v>137</v>
      </c>
      <c r="H570">
        <f>VLOOKUP(G570,Table4[[#All],[Cost Center]:[Client Type]],2,TRUE)</f>
        <v>1</v>
      </c>
      <c r="I570" t="str">
        <f>VLOOKUP(G570,Table4[[#All],[Cost Center]:[Client Type]],3,TRUE)</f>
        <v>ORA Zed PKGs A &amp; D</v>
      </c>
      <c r="J570" t="str">
        <f>VLOOKUP(G570,Table4[[#All],[Cost Center]:[Client Type]],5,TRUE)</f>
        <v>Osama Mezayn</v>
      </c>
    </row>
    <row r="571" spans="6:10" x14ac:dyDescent="0.25">
      <c r="F571" t="s">
        <v>111</v>
      </c>
      <c r="G571" s="7" cm="1">
        <f t="array" ref="G571">INT(planned(F571))</f>
        <v>137</v>
      </c>
      <c r="H571">
        <f>VLOOKUP(G571,Table4[[#All],[Cost Center]:[Client Type]],2,TRUE)</f>
        <v>1</v>
      </c>
      <c r="I571" t="str">
        <f>VLOOKUP(G571,Table4[[#All],[Cost Center]:[Client Type]],3,TRUE)</f>
        <v>ORA Zed PKGs A &amp; D</v>
      </c>
      <c r="J571" t="str">
        <f>VLOOKUP(G571,Table4[[#All],[Cost Center]:[Client Type]],5,TRUE)</f>
        <v>Osama Mezayn</v>
      </c>
    </row>
    <row r="572" spans="6:10" x14ac:dyDescent="0.25">
      <c r="F572" t="s">
        <v>111</v>
      </c>
      <c r="G572" s="7" cm="1">
        <f t="array" ref="G572">INT(planned(F572))</f>
        <v>137</v>
      </c>
      <c r="H572">
        <f>VLOOKUP(G572,Table4[[#All],[Cost Center]:[Client Type]],2,TRUE)</f>
        <v>1</v>
      </c>
      <c r="I572" t="str">
        <f>VLOOKUP(G572,Table4[[#All],[Cost Center]:[Client Type]],3,TRUE)</f>
        <v>ORA Zed PKGs A &amp; D</v>
      </c>
      <c r="J572" t="str">
        <f>VLOOKUP(G572,Table4[[#All],[Cost Center]:[Client Type]],5,TRUE)</f>
        <v>Osama Mezayn</v>
      </c>
    </row>
    <row r="573" spans="6:10" x14ac:dyDescent="0.25">
      <c r="F573" t="s">
        <v>111</v>
      </c>
      <c r="G573" s="7" cm="1">
        <f t="array" ref="G573">INT(planned(F573))</f>
        <v>137</v>
      </c>
      <c r="H573">
        <f>VLOOKUP(G573,Table4[[#All],[Cost Center]:[Client Type]],2,TRUE)</f>
        <v>1</v>
      </c>
      <c r="I573" t="str">
        <f>VLOOKUP(G573,Table4[[#All],[Cost Center]:[Client Type]],3,TRUE)</f>
        <v>ORA Zed PKGs A &amp; D</v>
      </c>
      <c r="J573" t="str">
        <f>VLOOKUP(G573,Table4[[#All],[Cost Center]:[Client Type]],5,TRUE)</f>
        <v>Osama Mezayn</v>
      </c>
    </row>
    <row r="574" spans="6:10" x14ac:dyDescent="0.25">
      <c r="F574" t="s">
        <v>111</v>
      </c>
      <c r="G574" s="7" cm="1">
        <f t="array" ref="G574">INT(planned(F574))</f>
        <v>137</v>
      </c>
      <c r="H574">
        <f>VLOOKUP(G574,Table4[[#All],[Cost Center]:[Client Type]],2,TRUE)</f>
        <v>1</v>
      </c>
      <c r="I574" t="str">
        <f>VLOOKUP(G574,Table4[[#All],[Cost Center]:[Client Type]],3,TRUE)</f>
        <v>ORA Zed PKGs A &amp; D</v>
      </c>
      <c r="J574" t="str">
        <f>VLOOKUP(G574,Table4[[#All],[Cost Center]:[Client Type]],5,TRUE)</f>
        <v>Osama Mezayn</v>
      </c>
    </row>
    <row r="575" spans="6:10" x14ac:dyDescent="0.25">
      <c r="F575" t="s">
        <v>111</v>
      </c>
      <c r="G575" s="7" cm="1">
        <f t="array" ref="G575">INT(planned(F575))</f>
        <v>137</v>
      </c>
      <c r="H575">
        <f>VLOOKUP(G575,Table4[[#All],[Cost Center]:[Client Type]],2,TRUE)</f>
        <v>1</v>
      </c>
      <c r="I575" t="str">
        <f>VLOOKUP(G575,Table4[[#All],[Cost Center]:[Client Type]],3,TRUE)</f>
        <v>ORA Zed PKGs A &amp; D</v>
      </c>
      <c r="J575" t="str">
        <f>VLOOKUP(G575,Table4[[#All],[Cost Center]:[Client Type]],5,TRUE)</f>
        <v>Osama Mezayn</v>
      </c>
    </row>
    <row r="576" spans="6:10" x14ac:dyDescent="0.25">
      <c r="F576" t="s">
        <v>111</v>
      </c>
      <c r="G576" s="7" cm="1">
        <f t="array" ref="G576">INT(planned(F576))</f>
        <v>137</v>
      </c>
      <c r="H576">
        <f>VLOOKUP(G576,Table4[[#All],[Cost Center]:[Client Type]],2,TRUE)</f>
        <v>1</v>
      </c>
      <c r="I576" t="str">
        <f>VLOOKUP(G576,Table4[[#All],[Cost Center]:[Client Type]],3,TRUE)</f>
        <v>ORA Zed PKGs A &amp; D</v>
      </c>
      <c r="J576" t="str">
        <f>VLOOKUP(G576,Table4[[#All],[Cost Center]:[Client Type]],5,TRUE)</f>
        <v>Osama Mezayn</v>
      </c>
    </row>
    <row r="577" spans="6:10" x14ac:dyDescent="0.25">
      <c r="F577" t="s">
        <v>111</v>
      </c>
      <c r="G577" s="7" cm="1">
        <f t="array" ref="G577">INT(planned(F577))</f>
        <v>137</v>
      </c>
      <c r="H577">
        <f>VLOOKUP(G577,Table4[[#All],[Cost Center]:[Client Type]],2,TRUE)</f>
        <v>1</v>
      </c>
      <c r="I577" t="str">
        <f>VLOOKUP(G577,Table4[[#All],[Cost Center]:[Client Type]],3,TRUE)</f>
        <v>ORA Zed PKGs A &amp; D</v>
      </c>
      <c r="J577" t="str">
        <f>VLOOKUP(G577,Table4[[#All],[Cost Center]:[Client Type]],5,TRUE)</f>
        <v>Osama Mezayn</v>
      </c>
    </row>
    <row r="578" spans="6:10" x14ac:dyDescent="0.25">
      <c r="F578" t="s">
        <v>111</v>
      </c>
      <c r="G578" s="7" cm="1">
        <f t="array" ref="G578">INT(planned(F578))</f>
        <v>137</v>
      </c>
      <c r="H578">
        <f>VLOOKUP(G578,Table4[[#All],[Cost Center]:[Client Type]],2,TRUE)</f>
        <v>1</v>
      </c>
      <c r="I578" t="str">
        <f>VLOOKUP(G578,Table4[[#All],[Cost Center]:[Client Type]],3,TRUE)</f>
        <v>ORA Zed PKGs A &amp; D</v>
      </c>
      <c r="J578" t="str">
        <f>VLOOKUP(G578,Table4[[#All],[Cost Center]:[Client Type]],5,TRUE)</f>
        <v>Osama Mezayn</v>
      </c>
    </row>
    <row r="579" spans="6:10" x14ac:dyDescent="0.25">
      <c r="F579" t="s">
        <v>111</v>
      </c>
      <c r="G579" s="7" cm="1">
        <f t="array" ref="G579">INT(planned(F579))</f>
        <v>137</v>
      </c>
      <c r="H579">
        <f>VLOOKUP(G579,Table4[[#All],[Cost Center]:[Client Type]],2,TRUE)</f>
        <v>1</v>
      </c>
      <c r="I579" t="str">
        <f>VLOOKUP(G579,Table4[[#All],[Cost Center]:[Client Type]],3,TRUE)</f>
        <v>ORA Zed PKGs A &amp; D</v>
      </c>
      <c r="J579" t="str">
        <f>VLOOKUP(G579,Table4[[#All],[Cost Center]:[Client Type]],5,TRUE)</f>
        <v>Osama Mezayn</v>
      </c>
    </row>
    <row r="580" spans="6:10" x14ac:dyDescent="0.25">
      <c r="F580" t="s">
        <v>111</v>
      </c>
      <c r="G580" s="7" cm="1">
        <f t="array" ref="G580">INT(planned(F580))</f>
        <v>137</v>
      </c>
      <c r="H580">
        <f>VLOOKUP(G580,Table4[[#All],[Cost Center]:[Client Type]],2,TRUE)</f>
        <v>1</v>
      </c>
      <c r="I580" t="str">
        <f>VLOOKUP(G580,Table4[[#All],[Cost Center]:[Client Type]],3,TRUE)</f>
        <v>ORA Zed PKGs A &amp; D</v>
      </c>
      <c r="J580" t="str">
        <f>VLOOKUP(G580,Table4[[#All],[Cost Center]:[Client Type]],5,TRUE)</f>
        <v>Osama Mezayn</v>
      </c>
    </row>
    <row r="581" spans="6:10" x14ac:dyDescent="0.25">
      <c r="F581" t="s">
        <v>111</v>
      </c>
      <c r="G581" s="7" cm="1">
        <f t="array" ref="G581">INT(planned(F581))</f>
        <v>137</v>
      </c>
      <c r="H581">
        <f>VLOOKUP(G581,Table4[[#All],[Cost Center]:[Client Type]],2,TRUE)</f>
        <v>1</v>
      </c>
      <c r="I581" t="str">
        <f>VLOOKUP(G581,Table4[[#All],[Cost Center]:[Client Type]],3,TRUE)</f>
        <v>ORA Zed PKGs A &amp; D</v>
      </c>
      <c r="J581" t="str">
        <f>VLOOKUP(G581,Table4[[#All],[Cost Center]:[Client Type]],5,TRUE)</f>
        <v>Osama Mezayn</v>
      </c>
    </row>
    <row r="582" spans="6:10" x14ac:dyDescent="0.25">
      <c r="F582" t="s">
        <v>111</v>
      </c>
      <c r="G582" s="7" cm="1">
        <f t="array" ref="G582">INT(planned(F582))</f>
        <v>137</v>
      </c>
      <c r="H582">
        <f>VLOOKUP(G582,Table4[[#All],[Cost Center]:[Client Type]],2,TRUE)</f>
        <v>1</v>
      </c>
      <c r="I582" t="str">
        <f>VLOOKUP(G582,Table4[[#All],[Cost Center]:[Client Type]],3,TRUE)</f>
        <v>ORA Zed PKGs A &amp; D</v>
      </c>
      <c r="J582" t="str">
        <f>VLOOKUP(G582,Table4[[#All],[Cost Center]:[Client Type]],5,TRUE)</f>
        <v>Osama Mezayn</v>
      </c>
    </row>
    <row r="583" spans="6:10" x14ac:dyDescent="0.25">
      <c r="F583" t="s">
        <v>111</v>
      </c>
      <c r="G583" s="7" cm="1">
        <f t="array" ref="G583">INT(planned(F583))</f>
        <v>137</v>
      </c>
      <c r="H583">
        <f>VLOOKUP(G583,Table4[[#All],[Cost Center]:[Client Type]],2,TRUE)</f>
        <v>1</v>
      </c>
      <c r="I583" t="str">
        <f>VLOOKUP(G583,Table4[[#All],[Cost Center]:[Client Type]],3,TRUE)</f>
        <v>ORA Zed PKGs A &amp; D</v>
      </c>
      <c r="J583" t="str">
        <f>VLOOKUP(G583,Table4[[#All],[Cost Center]:[Client Type]],5,TRUE)</f>
        <v>Osama Mezayn</v>
      </c>
    </row>
    <row r="584" spans="6:10" x14ac:dyDescent="0.25">
      <c r="F584" t="s">
        <v>111</v>
      </c>
      <c r="G584" s="7" cm="1">
        <f t="array" ref="G584">INT(planned(F584))</f>
        <v>137</v>
      </c>
      <c r="H584">
        <f>VLOOKUP(G584,Table4[[#All],[Cost Center]:[Client Type]],2,TRUE)</f>
        <v>1</v>
      </c>
      <c r="I584" t="str">
        <f>VLOOKUP(G584,Table4[[#All],[Cost Center]:[Client Type]],3,TRUE)</f>
        <v>ORA Zed PKGs A &amp; D</v>
      </c>
      <c r="J584" t="str">
        <f>VLOOKUP(G584,Table4[[#All],[Cost Center]:[Client Type]],5,TRUE)</f>
        <v>Osama Mezayn</v>
      </c>
    </row>
    <row r="585" spans="6:10" x14ac:dyDescent="0.25">
      <c r="F585" t="s">
        <v>111</v>
      </c>
      <c r="G585" s="7" cm="1">
        <f t="array" ref="G585">INT(planned(F585))</f>
        <v>137</v>
      </c>
      <c r="H585">
        <f>VLOOKUP(G585,Table4[[#All],[Cost Center]:[Client Type]],2,TRUE)</f>
        <v>1</v>
      </c>
      <c r="I585" t="str">
        <f>VLOOKUP(G585,Table4[[#All],[Cost Center]:[Client Type]],3,TRUE)</f>
        <v>ORA Zed PKGs A &amp; D</v>
      </c>
      <c r="J585" t="str">
        <f>VLOOKUP(G585,Table4[[#All],[Cost Center]:[Client Type]],5,TRUE)</f>
        <v>Osama Mezayn</v>
      </c>
    </row>
    <row r="586" spans="6:10" x14ac:dyDescent="0.25">
      <c r="F586" t="s">
        <v>111</v>
      </c>
      <c r="G586" s="7" cm="1">
        <f t="array" ref="G586">INT(planned(F586))</f>
        <v>137</v>
      </c>
      <c r="H586">
        <f>VLOOKUP(G586,Table4[[#All],[Cost Center]:[Client Type]],2,TRUE)</f>
        <v>1</v>
      </c>
      <c r="I586" t="str">
        <f>VLOOKUP(G586,Table4[[#All],[Cost Center]:[Client Type]],3,TRUE)</f>
        <v>ORA Zed PKGs A &amp; D</v>
      </c>
      <c r="J586" t="str">
        <f>VLOOKUP(G586,Table4[[#All],[Cost Center]:[Client Type]],5,TRUE)</f>
        <v>Osama Mezayn</v>
      </c>
    </row>
    <row r="587" spans="6:10" x14ac:dyDescent="0.25">
      <c r="F587" t="s">
        <v>111</v>
      </c>
      <c r="G587" s="7" cm="1">
        <f t="array" ref="G587">INT(planned(F587))</f>
        <v>137</v>
      </c>
      <c r="H587">
        <f>VLOOKUP(G587,Table4[[#All],[Cost Center]:[Client Type]],2,TRUE)</f>
        <v>1</v>
      </c>
      <c r="I587" t="str">
        <f>VLOOKUP(G587,Table4[[#All],[Cost Center]:[Client Type]],3,TRUE)</f>
        <v>ORA Zed PKGs A &amp; D</v>
      </c>
      <c r="J587" t="str">
        <f>VLOOKUP(G587,Table4[[#All],[Cost Center]:[Client Type]],5,TRUE)</f>
        <v>Osama Mezayn</v>
      </c>
    </row>
    <row r="588" spans="6:10" x14ac:dyDescent="0.25">
      <c r="F588" t="s">
        <v>111</v>
      </c>
      <c r="G588" s="7" cm="1">
        <f t="array" ref="G588">INT(planned(F588))</f>
        <v>137</v>
      </c>
      <c r="H588">
        <f>VLOOKUP(G588,Table4[[#All],[Cost Center]:[Client Type]],2,TRUE)</f>
        <v>1</v>
      </c>
      <c r="I588" t="str">
        <f>VLOOKUP(G588,Table4[[#All],[Cost Center]:[Client Type]],3,TRUE)</f>
        <v>ORA Zed PKGs A &amp; D</v>
      </c>
      <c r="J588" t="str">
        <f>VLOOKUP(G588,Table4[[#All],[Cost Center]:[Client Type]],5,TRUE)</f>
        <v>Osama Mezayn</v>
      </c>
    </row>
    <row r="589" spans="6:10" x14ac:dyDescent="0.25">
      <c r="F589" t="s">
        <v>111</v>
      </c>
      <c r="G589" s="7" cm="1">
        <f t="array" ref="G589">INT(planned(F589))</f>
        <v>137</v>
      </c>
      <c r="H589">
        <f>VLOOKUP(G589,Table4[[#All],[Cost Center]:[Client Type]],2,TRUE)</f>
        <v>1</v>
      </c>
      <c r="I589" t="str">
        <f>VLOOKUP(G589,Table4[[#All],[Cost Center]:[Client Type]],3,TRUE)</f>
        <v>ORA Zed PKGs A &amp; D</v>
      </c>
      <c r="J589" t="str">
        <f>VLOOKUP(G589,Table4[[#All],[Cost Center]:[Client Type]],5,TRUE)</f>
        <v>Osama Mezayn</v>
      </c>
    </row>
    <row r="590" spans="6:10" x14ac:dyDescent="0.25">
      <c r="F590" t="s">
        <v>111</v>
      </c>
      <c r="G590" s="7" cm="1">
        <f t="array" ref="G590">INT(planned(F590))</f>
        <v>137</v>
      </c>
      <c r="H590">
        <f>VLOOKUP(G590,Table4[[#All],[Cost Center]:[Client Type]],2,TRUE)</f>
        <v>1</v>
      </c>
      <c r="I590" t="str">
        <f>VLOOKUP(G590,Table4[[#All],[Cost Center]:[Client Type]],3,TRUE)</f>
        <v>ORA Zed PKGs A &amp; D</v>
      </c>
      <c r="J590" t="str">
        <f>VLOOKUP(G590,Table4[[#All],[Cost Center]:[Client Type]],5,TRUE)</f>
        <v>Osama Mezayn</v>
      </c>
    </row>
    <row r="591" spans="6:10" x14ac:dyDescent="0.25">
      <c r="F591" t="s">
        <v>111</v>
      </c>
      <c r="G591" s="7" cm="1">
        <f t="array" ref="G591">INT(planned(F591))</f>
        <v>137</v>
      </c>
      <c r="H591">
        <f>VLOOKUP(G591,Table4[[#All],[Cost Center]:[Client Type]],2,TRUE)</f>
        <v>1</v>
      </c>
      <c r="I591" t="str">
        <f>VLOOKUP(G591,Table4[[#All],[Cost Center]:[Client Type]],3,TRUE)</f>
        <v>ORA Zed PKGs A &amp; D</v>
      </c>
      <c r="J591" t="str">
        <f>VLOOKUP(G591,Table4[[#All],[Cost Center]:[Client Type]],5,TRUE)</f>
        <v>Osama Mezayn</v>
      </c>
    </row>
    <row r="592" spans="6:10" x14ac:dyDescent="0.25">
      <c r="F592" t="s">
        <v>111</v>
      </c>
      <c r="G592" s="7" cm="1">
        <f t="array" ref="G592">INT(planned(F592))</f>
        <v>137</v>
      </c>
      <c r="H592">
        <f>VLOOKUP(G592,Table4[[#All],[Cost Center]:[Client Type]],2,TRUE)</f>
        <v>1</v>
      </c>
      <c r="I592" t="str">
        <f>VLOOKUP(G592,Table4[[#All],[Cost Center]:[Client Type]],3,TRUE)</f>
        <v>ORA Zed PKGs A &amp; D</v>
      </c>
      <c r="J592" t="str">
        <f>VLOOKUP(G592,Table4[[#All],[Cost Center]:[Client Type]],5,TRUE)</f>
        <v>Osama Mezayn</v>
      </c>
    </row>
    <row r="593" spans="6:10" x14ac:dyDescent="0.25">
      <c r="F593" t="s">
        <v>111</v>
      </c>
      <c r="G593" s="7" cm="1">
        <f t="array" ref="G593">INT(planned(F593))</f>
        <v>137</v>
      </c>
      <c r="H593">
        <f>VLOOKUP(G593,Table4[[#All],[Cost Center]:[Client Type]],2,TRUE)</f>
        <v>1</v>
      </c>
      <c r="I593" t="str">
        <f>VLOOKUP(G593,Table4[[#All],[Cost Center]:[Client Type]],3,TRUE)</f>
        <v>ORA Zed PKGs A &amp; D</v>
      </c>
      <c r="J593" t="str">
        <f>VLOOKUP(G593,Table4[[#All],[Cost Center]:[Client Type]],5,TRUE)</f>
        <v>Osama Mezayn</v>
      </c>
    </row>
    <row r="594" spans="6:10" x14ac:dyDescent="0.25">
      <c r="F594" t="s">
        <v>111</v>
      </c>
      <c r="G594" s="7" cm="1">
        <f t="array" ref="G594">INT(planned(F594))</f>
        <v>137</v>
      </c>
      <c r="H594">
        <f>VLOOKUP(G594,Table4[[#All],[Cost Center]:[Client Type]],2,TRUE)</f>
        <v>1</v>
      </c>
      <c r="I594" t="str">
        <f>VLOOKUP(G594,Table4[[#All],[Cost Center]:[Client Type]],3,TRUE)</f>
        <v>ORA Zed PKGs A &amp; D</v>
      </c>
      <c r="J594" t="str">
        <f>VLOOKUP(G594,Table4[[#All],[Cost Center]:[Client Type]],5,TRUE)</f>
        <v>Osama Mezayn</v>
      </c>
    </row>
    <row r="595" spans="6:10" x14ac:dyDescent="0.25">
      <c r="F595" t="s">
        <v>111</v>
      </c>
      <c r="G595" s="7" cm="1">
        <f t="array" ref="G595">INT(planned(F595))</f>
        <v>137</v>
      </c>
      <c r="H595">
        <f>VLOOKUP(G595,Table4[[#All],[Cost Center]:[Client Type]],2,TRUE)</f>
        <v>1</v>
      </c>
      <c r="I595" t="str">
        <f>VLOOKUP(G595,Table4[[#All],[Cost Center]:[Client Type]],3,TRUE)</f>
        <v>ORA Zed PKGs A &amp; D</v>
      </c>
      <c r="J595" t="str">
        <f>VLOOKUP(G595,Table4[[#All],[Cost Center]:[Client Type]],5,TRUE)</f>
        <v>Osama Mezayn</v>
      </c>
    </row>
    <row r="596" spans="6:10" x14ac:dyDescent="0.25">
      <c r="F596" t="s">
        <v>111</v>
      </c>
      <c r="G596" s="7" cm="1">
        <f t="array" ref="G596">INT(planned(F596))</f>
        <v>137</v>
      </c>
      <c r="H596">
        <f>VLOOKUP(G596,Table4[[#All],[Cost Center]:[Client Type]],2,TRUE)</f>
        <v>1</v>
      </c>
      <c r="I596" t="str">
        <f>VLOOKUP(G596,Table4[[#All],[Cost Center]:[Client Type]],3,TRUE)</f>
        <v>ORA Zed PKGs A &amp; D</v>
      </c>
      <c r="J596" t="str">
        <f>VLOOKUP(G596,Table4[[#All],[Cost Center]:[Client Type]],5,TRUE)</f>
        <v>Osama Mezayn</v>
      </c>
    </row>
    <row r="597" spans="6:10" x14ac:dyDescent="0.25">
      <c r="F597" t="s">
        <v>111</v>
      </c>
      <c r="G597" s="7" cm="1">
        <f t="array" ref="G597">INT(planned(F597))</f>
        <v>137</v>
      </c>
      <c r="H597">
        <f>VLOOKUP(G597,Table4[[#All],[Cost Center]:[Client Type]],2,TRUE)</f>
        <v>1</v>
      </c>
      <c r="I597" t="str">
        <f>VLOOKUP(G597,Table4[[#All],[Cost Center]:[Client Type]],3,TRUE)</f>
        <v>ORA Zed PKGs A &amp; D</v>
      </c>
      <c r="J597" t="str">
        <f>VLOOKUP(G597,Table4[[#All],[Cost Center]:[Client Type]],5,TRUE)</f>
        <v>Osama Mezayn</v>
      </c>
    </row>
    <row r="598" spans="6:10" x14ac:dyDescent="0.25">
      <c r="F598" t="s">
        <v>111</v>
      </c>
      <c r="G598" s="7" cm="1">
        <f t="array" ref="G598">INT(planned(F598))</f>
        <v>137</v>
      </c>
      <c r="H598">
        <f>VLOOKUP(G598,Table4[[#All],[Cost Center]:[Client Type]],2,TRUE)</f>
        <v>1</v>
      </c>
      <c r="I598" t="str">
        <f>VLOOKUP(G598,Table4[[#All],[Cost Center]:[Client Type]],3,TRUE)</f>
        <v>ORA Zed PKGs A &amp; D</v>
      </c>
      <c r="J598" t="str">
        <f>VLOOKUP(G598,Table4[[#All],[Cost Center]:[Client Type]],5,TRUE)</f>
        <v>Osama Mezayn</v>
      </c>
    </row>
    <row r="599" spans="6:10" x14ac:dyDescent="0.25">
      <c r="F599" t="s">
        <v>111</v>
      </c>
      <c r="G599" s="7" cm="1">
        <f t="array" ref="G599">INT(planned(F599))</f>
        <v>137</v>
      </c>
      <c r="H599">
        <f>VLOOKUP(G599,Table4[[#All],[Cost Center]:[Client Type]],2,TRUE)</f>
        <v>1</v>
      </c>
      <c r="I599" t="str">
        <f>VLOOKUP(G599,Table4[[#All],[Cost Center]:[Client Type]],3,TRUE)</f>
        <v>ORA Zed PKGs A &amp; D</v>
      </c>
      <c r="J599" t="str">
        <f>VLOOKUP(G599,Table4[[#All],[Cost Center]:[Client Type]],5,TRUE)</f>
        <v>Osama Mezayn</v>
      </c>
    </row>
    <row r="600" spans="6:10" x14ac:dyDescent="0.25">
      <c r="F600" t="s">
        <v>111</v>
      </c>
      <c r="G600" s="7" cm="1">
        <f t="array" ref="G600">INT(planned(F600))</f>
        <v>137</v>
      </c>
      <c r="H600">
        <f>VLOOKUP(G600,Table4[[#All],[Cost Center]:[Client Type]],2,TRUE)</f>
        <v>1</v>
      </c>
      <c r="I600" t="str">
        <f>VLOOKUP(G600,Table4[[#All],[Cost Center]:[Client Type]],3,TRUE)</f>
        <v>ORA Zed PKGs A &amp; D</v>
      </c>
      <c r="J600" t="str">
        <f>VLOOKUP(G600,Table4[[#All],[Cost Center]:[Client Type]],5,TRUE)</f>
        <v>Osama Mezayn</v>
      </c>
    </row>
    <row r="601" spans="6:10" x14ac:dyDescent="0.25">
      <c r="F601" t="s">
        <v>111</v>
      </c>
      <c r="G601" s="7" cm="1">
        <f t="array" ref="G601">INT(planned(F601))</f>
        <v>137</v>
      </c>
      <c r="H601">
        <f>VLOOKUP(G601,Table4[[#All],[Cost Center]:[Client Type]],2,TRUE)</f>
        <v>1</v>
      </c>
      <c r="I601" t="str">
        <f>VLOOKUP(G601,Table4[[#All],[Cost Center]:[Client Type]],3,TRUE)</f>
        <v>ORA Zed PKGs A &amp; D</v>
      </c>
      <c r="J601" t="str">
        <f>VLOOKUP(G601,Table4[[#All],[Cost Center]:[Client Type]],5,TRUE)</f>
        <v>Osama Mezayn</v>
      </c>
    </row>
    <row r="602" spans="6:10" x14ac:dyDescent="0.25">
      <c r="F602" t="s">
        <v>111</v>
      </c>
      <c r="G602" s="7" cm="1">
        <f t="array" ref="G602">INT(planned(F602))</f>
        <v>137</v>
      </c>
      <c r="H602">
        <f>VLOOKUP(G602,Table4[[#All],[Cost Center]:[Client Type]],2,TRUE)</f>
        <v>1</v>
      </c>
      <c r="I602" t="str">
        <f>VLOOKUP(G602,Table4[[#All],[Cost Center]:[Client Type]],3,TRUE)</f>
        <v>ORA Zed PKGs A &amp; D</v>
      </c>
      <c r="J602" t="str">
        <f>VLOOKUP(G602,Table4[[#All],[Cost Center]:[Client Type]],5,TRUE)</f>
        <v>Osama Mezayn</v>
      </c>
    </row>
    <row r="603" spans="6:10" x14ac:dyDescent="0.25">
      <c r="F603" t="s">
        <v>111</v>
      </c>
      <c r="G603" s="7" cm="1">
        <f t="array" ref="G603">INT(planned(F603))</f>
        <v>137</v>
      </c>
      <c r="H603">
        <f>VLOOKUP(G603,Table4[[#All],[Cost Center]:[Client Type]],2,TRUE)</f>
        <v>1</v>
      </c>
      <c r="I603" t="str">
        <f>VLOOKUP(G603,Table4[[#All],[Cost Center]:[Client Type]],3,TRUE)</f>
        <v>ORA Zed PKGs A &amp; D</v>
      </c>
      <c r="J603" t="str">
        <f>VLOOKUP(G603,Table4[[#All],[Cost Center]:[Client Type]],5,TRUE)</f>
        <v>Osama Mezayn</v>
      </c>
    </row>
    <row r="604" spans="6:10" x14ac:dyDescent="0.25">
      <c r="F604" t="s">
        <v>111</v>
      </c>
      <c r="G604" s="7" cm="1">
        <f t="array" ref="G604">INT(planned(F604))</f>
        <v>137</v>
      </c>
      <c r="H604">
        <f>VLOOKUP(G604,Table4[[#All],[Cost Center]:[Client Type]],2,TRUE)</f>
        <v>1</v>
      </c>
      <c r="I604" t="str">
        <f>VLOOKUP(G604,Table4[[#All],[Cost Center]:[Client Type]],3,TRUE)</f>
        <v>ORA Zed PKGs A &amp; D</v>
      </c>
      <c r="J604" t="str">
        <f>VLOOKUP(G604,Table4[[#All],[Cost Center]:[Client Type]],5,TRUE)</f>
        <v>Osama Mezayn</v>
      </c>
    </row>
    <row r="605" spans="6:10" x14ac:dyDescent="0.25">
      <c r="F605" t="s">
        <v>111</v>
      </c>
      <c r="G605" s="7" cm="1">
        <f t="array" ref="G605">INT(planned(F605))</f>
        <v>137</v>
      </c>
      <c r="H605">
        <f>VLOOKUP(G605,Table4[[#All],[Cost Center]:[Client Type]],2,TRUE)</f>
        <v>1</v>
      </c>
      <c r="I605" t="str">
        <f>VLOOKUP(G605,Table4[[#All],[Cost Center]:[Client Type]],3,TRUE)</f>
        <v>ORA Zed PKGs A &amp; D</v>
      </c>
      <c r="J605" t="str">
        <f>VLOOKUP(G605,Table4[[#All],[Cost Center]:[Client Type]],5,TRUE)</f>
        <v>Osama Mezayn</v>
      </c>
    </row>
    <row r="606" spans="6:10" x14ac:dyDescent="0.25">
      <c r="F606" t="s">
        <v>111</v>
      </c>
      <c r="G606" s="7" cm="1">
        <f t="array" ref="G606">INT(planned(F606))</f>
        <v>137</v>
      </c>
      <c r="H606">
        <f>VLOOKUP(G606,Table4[[#All],[Cost Center]:[Client Type]],2,TRUE)</f>
        <v>1</v>
      </c>
      <c r="I606" t="str">
        <f>VLOOKUP(G606,Table4[[#All],[Cost Center]:[Client Type]],3,TRUE)</f>
        <v>ORA Zed PKGs A &amp; D</v>
      </c>
      <c r="J606" t="str">
        <f>VLOOKUP(G606,Table4[[#All],[Cost Center]:[Client Type]],5,TRUE)</f>
        <v>Osama Mezayn</v>
      </c>
    </row>
    <row r="607" spans="6:10" x14ac:dyDescent="0.25">
      <c r="F607" t="s">
        <v>111</v>
      </c>
      <c r="G607" s="7" cm="1">
        <f t="array" ref="G607">INT(planned(F607))</f>
        <v>137</v>
      </c>
      <c r="H607">
        <f>VLOOKUP(G607,Table4[[#All],[Cost Center]:[Client Type]],2,TRUE)</f>
        <v>1</v>
      </c>
      <c r="I607" t="str">
        <f>VLOOKUP(G607,Table4[[#All],[Cost Center]:[Client Type]],3,TRUE)</f>
        <v>ORA Zed PKGs A &amp; D</v>
      </c>
      <c r="J607" t="str">
        <f>VLOOKUP(G607,Table4[[#All],[Cost Center]:[Client Type]],5,TRUE)</f>
        <v>Osama Mezayn</v>
      </c>
    </row>
    <row r="608" spans="6:10" x14ac:dyDescent="0.25">
      <c r="F608" t="s">
        <v>111</v>
      </c>
      <c r="G608" s="7" cm="1">
        <f t="array" ref="G608">INT(planned(F608))</f>
        <v>137</v>
      </c>
      <c r="H608">
        <f>VLOOKUP(G608,Table4[[#All],[Cost Center]:[Client Type]],2,TRUE)</f>
        <v>1</v>
      </c>
      <c r="I608" t="str">
        <f>VLOOKUP(G608,Table4[[#All],[Cost Center]:[Client Type]],3,TRUE)</f>
        <v>ORA Zed PKGs A &amp; D</v>
      </c>
      <c r="J608" t="str">
        <f>VLOOKUP(G608,Table4[[#All],[Cost Center]:[Client Type]],5,TRUE)</f>
        <v>Osama Mezayn</v>
      </c>
    </row>
    <row r="609" spans="6:10" x14ac:dyDescent="0.25">
      <c r="F609" t="s">
        <v>111</v>
      </c>
      <c r="G609" s="7" cm="1">
        <f t="array" ref="G609">INT(planned(F609))</f>
        <v>137</v>
      </c>
      <c r="H609">
        <f>VLOOKUP(G609,Table4[[#All],[Cost Center]:[Client Type]],2,TRUE)</f>
        <v>1</v>
      </c>
      <c r="I609" t="str">
        <f>VLOOKUP(G609,Table4[[#All],[Cost Center]:[Client Type]],3,TRUE)</f>
        <v>ORA Zed PKGs A &amp; D</v>
      </c>
      <c r="J609" t="str">
        <f>VLOOKUP(G609,Table4[[#All],[Cost Center]:[Client Type]],5,TRUE)</f>
        <v>Osama Mezayn</v>
      </c>
    </row>
    <row r="610" spans="6:10" x14ac:dyDescent="0.25">
      <c r="F610" t="s">
        <v>111</v>
      </c>
      <c r="G610" s="7" cm="1">
        <f t="array" ref="G610">INT(planned(F610))</f>
        <v>137</v>
      </c>
      <c r="H610">
        <f>VLOOKUP(G610,Table4[[#All],[Cost Center]:[Client Type]],2,TRUE)</f>
        <v>1</v>
      </c>
      <c r="I610" t="str">
        <f>VLOOKUP(G610,Table4[[#All],[Cost Center]:[Client Type]],3,TRUE)</f>
        <v>ORA Zed PKGs A &amp; D</v>
      </c>
      <c r="J610" t="str">
        <f>VLOOKUP(G610,Table4[[#All],[Cost Center]:[Client Type]],5,TRUE)</f>
        <v>Osama Mezayn</v>
      </c>
    </row>
    <row r="611" spans="6:10" x14ac:dyDescent="0.25">
      <c r="F611" t="s">
        <v>111</v>
      </c>
      <c r="G611" s="7" cm="1">
        <f t="array" ref="G611">INT(planned(F611))</f>
        <v>137</v>
      </c>
      <c r="H611">
        <f>VLOOKUP(G611,Table4[[#All],[Cost Center]:[Client Type]],2,TRUE)</f>
        <v>1</v>
      </c>
      <c r="I611" t="str">
        <f>VLOOKUP(G611,Table4[[#All],[Cost Center]:[Client Type]],3,TRUE)</f>
        <v>ORA Zed PKGs A &amp; D</v>
      </c>
      <c r="J611" t="str">
        <f>VLOOKUP(G611,Table4[[#All],[Cost Center]:[Client Type]],5,TRUE)</f>
        <v>Osama Mezayn</v>
      </c>
    </row>
    <row r="612" spans="6:10" x14ac:dyDescent="0.25">
      <c r="F612" t="s">
        <v>111</v>
      </c>
      <c r="G612" s="7" cm="1">
        <f t="array" ref="G612">INT(planned(F612))</f>
        <v>137</v>
      </c>
      <c r="H612">
        <f>VLOOKUP(G612,Table4[[#All],[Cost Center]:[Client Type]],2,TRUE)</f>
        <v>1</v>
      </c>
      <c r="I612" t="str">
        <f>VLOOKUP(G612,Table4[[#All],[Cost Center]:[Client Type]],3,TRUE)</f>
        <v>ORA Zed PKGs A &amp; D</v>
      </c>
      <c r="J612" t="str">
        <f>VLOOKUP(G612,Table4[[#All],[Cost Center]:[Client Type]],5,TRUE)</f>
        <v>Osama Mezayn</v>
      </c>
    </row>
    <row r="613" spans="6:10" x14ac:dyDescent="0.25">
      <c r="F613" t="s">
        <v>111</v>
      </c>
      <c r="G613" s="7" cm="1">
        <f t="array" ref="G613">INT(planned(F613))</f>
        <v>137</v>
      </c>
      <c r="H613">
        <f>VLOOKUP(G613,Table4[[#All],[Cost Center]:[Client Type]],2,TRUE)</f>
        <v>1</v>
      </c>
      <c r="I613" t="str">
        <f>VLOOKUP(G613,Table4[[#All],[Cost Center]:[Client Type]],3,TRUE)</f>
        <v>ORA Zed PKGs A &amp; D</v>
      </c>
      <c r="J613" t="str">
        <f>VLOOKUP(G613,Table4[[#All],[Cost Center]:[Client Type]],5,TRUE)</f>
        <v>Osama Mezayn</v>
      </c>
    </row>
    <row r="614" spans="6:10" x14ac:dyDescent="0.25">
      <c r="F614" t="s">
        <v>111</v>
      </c>
      <c r="G614" s="7" cm="1">
        <f t="array" ref="G614">INT(planned(F614))</f>
        <v>137</v>
      </c>
      <c r="H614">
        <f>VLOOKUP(G614,Table4[[#All],[Cost Center]:[Client Type]],2,TRUE)</f>
        <v>1</v>
      </c>
      <c r="I614" t="str">
        <f>VLOOKUP(G614,Table4[[#All],[Cost Center]:[Client Type]],3,TRUE)</f>
        <v>ORA Zed PKGs A &amp; D</v>
      </c>
      <c r="J614" t="str">
        <f>VLOOKUP(G614,Table4[[#All],[Cost Center]:[Client Type]],5,TRUE)</f>
        <v>Osama Mezayn</v>
      </c>
    </row>
    <row r="615" spans="6:10" x14ac:dyDescent="0.25">
      <c r="F615" t="s">
        <v>111</v>
      </c>
      <c r="G615" s="7" cm="1">
        <f t="array" ref="G615">INT(planned(F615))</f>
        <v>137</v>
      </c>
      <c r="H615">
        <f>VLOOKUP(G615,Table4[[#All],[Cost Center]:[Client Type]],2,TRUE)</f>
        <v>1</v>
      </c>
      <c r="I615" t="str">
        <f>VLOOKUP(G615,Table4[[#All],[Cost Center]:[Client Type]],3,TRUE)</f>
        <v>ORA Zed PKGs A &amp; D</v>
      </c>
      <c r="J615" t="str">
        <f>VLOOKUP(G615,Table4[[#All],[Cost Center]:[Client Type]],5,TRUE)</f>
        <v>Osama Mezayn</v>
      </c>
    </row>
    <row r="616" spans="6:10" x14ac:dyDescent="0.25">
      <c r="F616" t="s">
        <v>111</v>
      </c>
      <c r="G616" s="7" cm="1">
        <f t="array" ref="G616">INT(planned(F616))</f>
        <v>137</v>
      </c>
      <c r="H616">
        <f>VLOOKUP(G616,Table4[[#All],[Cost Center]:[Client Type]],2,TRUE)</f>
        <v>1</v>
      </c>
      <c r="I616" t="str">
        <f>VLOOKUP(G616,Table4[[#All],[Cost Center]:[Client Type]],3,TRUE)</f>
        <v>ORA Zed PKGs A &amp; D</v>
      </c>
      <c r="J616" t="str">
        <f>VLOOKUP(G616,Table4[[#All],[Cost Center]:[Client Type]],5,TRUE)</f>
        <v>Osama Mezayn</v>
      </c>
    </row>
    <row r="617" spans="6:10" x14ac:dyDescent="0.25">
      <c r="F617" t="s">
        <v>111</v>
      </c>
      <c r="G617" s="7" cm="1">
        <f t="array" ref="G617">INT(planned(F617))</f>
        <v>137</v>
      </c>
      <c r="H617">
        <f>VLOOKUP(G617,Table4[[#All],[Cost Center]:[Client Type]],2,TRUE)</f>
        <v>1</v>
      </c>
      <c r="I617" t="str">
        <f>VLOOKUP(G617,Table4[[#All],[Cost Center]:[Client Type]],3,TRUE)</f>
        <v>ORA Zed PKGs A &amp; D</v>
      </c>
      <c r="J617" t="str">
        <f>VLOOKUP(G617,Table4[[#All],[Cost Center]:[Client Type]],5,TRUE)</f>
        <v>Osama Mezayn</v>
      </c>
    </row>
    <row r="618" spans="6:10" x14ac:dyDescent="0.25">
      <c r="F618" t="s">
        <v>111</v>
      </c>
      <c r="G618" s="7" cm="1">
        <f t="array" ref="G618">INT(planned(F618))</f>
        <v>137</v>
      </c>
      <c r="H618">
        <f>VLOOKUP(G618,Table4[[#All],[Cost Center]:[Client Type]],2,TRUE)</f>
        <v>1</v>
      </c>
      <c r="I618" t="str">
        <f>VLOOKUP(G618,Table4[[#All],[Cost Center]:[Client Type]],3,TRUE)</f>
        <v>ORA Zed PKGs A &amp; D</v>
      </c>
      <c r="J618" t="str">
        <f>VLOOKUP(G618,Table4[[#All],[Cost Center]:[Client Type]],5,TRUE)</f>
        <v>Osama Mezayn</v>
      </c>
    </row>
    <row r="619" spans="6:10" x14ac:dyDescent="0.25">
      <c r="F619" t="s">
        <v>111</v>
      </c>
      <c r="G619" s="7" cm="1">
        <f t="array" ref="G619">INT(planned(F619))</f>
        <v>137</v>
      </c>
      <c r="H619">
        <f>VLOOKUP(G619,Table4[[#All],[Cost Center]:[Client Type]],2,TRUE)</f>
        <v>1</v>
      </c>
      <c r="I619" t="str">
        <f>VLOOKUP(G619,Table4[[#All],[Cost Center]:[Client Type]],3,TRUE)</f>
        <v>ORA Zed PKGs A &amp; D</v>
      </c>
      <c r="J619" t="str">
        <f>VLOOKUP(G619,Table4[[#All],[Cost Center]:[Client Type]],5,TRUE)</f>
        <v>Osama Mezayn</v>
      </c>
    </row>
    <row r="620" spans="6:10" x14ac:dyDescent="0.25">
      <c r="F620" t="s">
        <v>111</v>
      </c>
      <c r="G620" s="7" cm="1">
        <f t="array" ref="G620">INT(planned(F620))</f>
        <v>137</v>
      </c>
      <c r="H620">
        <f>VLOOKUP(G620,Table4[[#All],[Cost Center]:[Client Type]],2,TRUE)</f>
        <v>1</v>
      </c>
      <c r="I620" t="str">
        <f>VLOOKUP(G620,Table4[[#All],[Cost Center]:[Client Type]],3,TRUE)</f>
        <v>ORA Zed PKGs A &amp; D</v>
      </c>
      <c r="J620" t="str">
        <f>VLOOKUP(G620,Table4[[#All],[Cost Center]:[Client Type]],5,TRUE)</f>
        <v>Osama Mezayn</v>
      </c>
    </row>
    <row r="621" spans="6:10" x14ac:dyDescent="0.25">
      <c r="F621" t="s">
        <v>111</v>
      </c>
      <c r="G621" s="7" cm="1">
        <f t="array" ref="G621">INT(planned(F621))</f>
        <v>137</v>
      </c>
      <c r="H621">
        <f>VLOOKUP(G621,Table4[[#All],[Cost Center]:[Client Type]],2,TRUE)</f>
        <v>1</v>
      </c>
      <c r="I621" t="str">
        <f>VLOOKUP(G621,Table4[[#All],[Cost Center]:[Client Type]],3,TRUE)</f>
        <v>ORA Zed PKGs A &amp; D</v>
      </c>
      <c r="J621" t="str">
        <f>VLOOKUP(G621,Table4[[#All],[Cost Center]:[Client Type]],5,TRUE)</f>
        <v>Osama Mezayn</v>
      </c>
    </row>
    <row r="622" spans="6:10" x14ac:dyDescent="0.25">
      <c r="F622" t="s">
        <v>111</v>
      </c>
      <c r="G622" s="7" cm="1">
        <f t="array" ref="G622">INT(planned(F622))</f>
        <v>137</v>
      </c>
      <c r="H622">
        <f>VLOOKUP(G622,Table4[[#All],[Cost Center]:[Client Type]],2,TRUE)</f>
        <v>1</v>
      </c>
      <c r="I622" t="str">
        <f>VLOOKUP(G622,Table4[[#All],[Cost Center]:[Client Type]],3,TRUE)</f>
        <v>ORA Zed PKGs A &amp; D</v>
      </c>
      <c r="J622" t="str">
        <f>VLOOKUP(G622,Table4[[#All],[Cost Center]:[Client Type]],5,TRUE)</f>
        <v>Osama Mezayn</v>
      </c>
    </row>
    <row r="623" spans="6:10" x14ac:dyDescent="0.25">
      <c r="F623" t="s">
        <v>111</v>
      </c>
      <c r="G623" s="7" cm="1">
        <f t="array" ref="G623">INT(planned(F623))</f>
        <v>137</v>
      </c>
      <c r="H623">
        <f>VLOOKUP(G623,Table4[[#All],[Cost Center]:[Client Type]],2,TRUE)</f>
        <v>1</v>
      </c>
      <c r="I623" t="str">
        <f>VLOOKUP(G623,Table4[[#All],[Cost Center]:[Client Type]],3,TRUE)</f>
        <v>ORA Zed PKGs A &amp; D</v>
      </c>
      <c r="J623" t="str">
        <f>VLOOKUP(G623,Table4[[#All],[Cost Center]:[Client Type]],5,TRUE)</f>
        <v>Osama Mezayn</v>
      </c>
    </row>
    <row r="624" spans="6:10" x14ac:dyDescent="0.25">
      <c r="F624" t="s">
        <v>111</v>
      </c>
      <c r="G624" s="7" cm="1">
        <f t="array" ref="G624">INT(planned(F624))</f>
        <v>137</v>
      </c>
      <c r="H624">
        <f>VLOOKUP(G624,Table4[[#All],[Cost Center]:[Client Type]],2,TRUE)</f>
        <v>1</v>
      </c>
      <c r="I624" t="str">
        <f>VLOOKUP(G624,Table4[[#All],[Cost Center]:[Client Type]],3,TRUE)</f>
        <v>ORA Zed PKGs A &amp; D</v>
      </c>
      <c r="J624" t="str">
        <f>VLOOKUP(G624,Table4[[#All],[Cost Center]:[Client Type]],5,TRUE)</f>
        <v>Osama Mezayn</v>
      </c>
    </row>
    <row r="625" spans="6:10" x14ac:dyDescent="0.25">
      <c r="F625" t="s">
        <v>111</v>
      </c>
      <c r="G625" s="7" cm="1">
        <f t="array" ref="G625">INT(planned(F625))</f>
        <v>137</v>
      </c>
      <c r="H625">
        <f>VLOOKUP(G625,Table4[[#All],[Cost Center]:[Client Type]],2,TRUE)</f>
        <v>1</v>
      </c>
      <c r="I625" t="str">
        <f>VLOOKUP(G625,Table4[[#All],[Cost Center]:[Client Type]],3,TRUE)</f>
        <v>ORA Zed PKGs A &amp; D</v>
      </c>
      <c r="J625" t="str">
        <f>VLOOKUP(G625,Table4[[#All],[Cost Center]:[Client Type]],5,TRUE)</f>
        <v>Osama Mezayn</v>
      </c>
    </row>
    <row r="626" spans="6:10" x14ac:dyDescent="0.25">
      <c r="F626" t="s">
        <v>111</v>
      </c>
      <c r="G626" s="7" cm="1">
        <f t="array" ref="G626">INT(planned(F626))</f>
        <v>137</v>
      </c>
      <c r="H626">
        <f>VLOOKUP(G626,Table4[[#All],[Cost Center]:[Client Type]],2,TRUE)</f>
        <v>1</v>
      </c>
      <c r="I626" t="str">
        <f>VLOOKUP(G626,Table4[[#All],[Cost Center]:[Client Type]],3,TRUE)</f>
        <v>ORA Zed PKGs A &amp; D</v>
      </c>
      <c r="J626" t="str">
        <f>VLOOKUP(G626,Table4[[#All],[Cost Center]:[Client Type]],5,TRUE)</f>
        <v>Osama Mezayn</v>
      </c>
    </row>
    <row r="627" spans="6:10" x14ac:dyDescent="0.25">
      <c r="F627" t="s">
        <v>111</v>
      </c>
      <c r="G627" s="7" cm="1">
        <f t="array" ref="G627">INT(planned(F627))</f>
        <v>137</v>
      </c>
      <c r="H627">
        <f>VLOOKUP(G627,Table4[[#All],[Cost Center]:[Client Type]],2,TRUE)</f>
        <v>1</v>
      </c>
      <c r="I627" t="str">
        <f>VLOOKUP(G627,Table4[[#All],[Cost Center]:[Client Type]],3,TRUE)</f>
        <v>ORA Zed PKGs A &amp; D</v>
      </c>
      <c r="J627" t="str">
        <f>VLOOKUP(G627,Table4[[#All],[Cost Center]:[Client Type]],5,TRUE)</f>
        <v>Osama Mezayn</v>
      </c>
    </row>
    <row r="628" spans="6:10" x14ac:dyDescent="0.25">
      <c r="F628" t="s">
        <v>111</v>
      </c>
      <c r="G628" s="7" cm="1">
        <f t="array" ref="G628">INT(planned(F628))</f>
        <v>137</v>
      </c>
      <c r="H628">
        <f>VLOOKUP(G628,Table4[[#All],[Cost Center]:[Client Type]],2,TRUE)</f>
        <v>1</v>
      </c>
      <c r="I628" t="str">
        <f>VLOOKUP(G628,Table4[[#All],[Cost Center]:[Client Type]],3,TRUE)</f>
        <v>ORA Zed PKGs A &amp; D</v>
      </c>
      <c r="J628" t="str">
        <f>VLOOKUP(G628,Table4[[#All],[Cost Center]:[Client Type]],5,TRUE)</f>
        <v>Osama Mezayn</v>
      </c>
    </row>
    <row r="629" spans="6:10" x14ac:dyDescent="0.25">
      <c r="F629" t="s">
        <v>97</v>
      </c>
      <c r="G629" s="7" cm="1">
        <f t="array" ref="G629">INT(planned(F629))</f>
        <v>138</v>
      </c>
      <c r="H629">
        <f>VLOOKUP(G629,Table4[[#All],[Cost Center]:[Client Type]],2,TRUE)</f>
        <v>6</v>
      </c>
      <c r="I629" t="str">
        <f>VLOOKUP(G629,Table4[[#All],[Cost Center]:[Client Type]],3,TRUE)</f>
        <v>Creek</v>
      </c>
      <c r="J629" t="str">
        <f>VLOOKUP(G629,Table4[[#All],[Cost Center]:[Client Type]],5,TRUE)</f>
        <v>Osama Mezayn</v>
      </c>
    </row>
    <row r="630" spans="6:10" x14ac:dyDescent="0.25">
      <c r="F630" t="s">
        <v>97</v>
      </c>
      <c r="G630" s="7" cm="1">
        <f t="array" ref="G630">INT(planned(F630))</f>
        <v>138</v>
      </c>
      <c r="H630">
        <f>VLOOKUP(G630,Table4[[#All],[Cost Center]:[Client Type]],2,TRUE)</f>
        <v>6</v>
      </c>
      <c r="I630" t="str">
        <f>VLOOKUP(G630,Table4[[#All],[Cost Center]:[Client Type]],3,TRUE)</f>
        <v>Creek</v>
      </c>
      <c r="J630" t="str">
        <f>VLOOKUP(G630,Table4[[#All],[Cost Center]:[Client Type]],5,TRUE)</f>
        <v>Osama Mezayn</v>
      </c>
    </row>
    <row r="631" spans="6:10" x14ac:dyDescent="0.25">
      <c r="F631" t="s">
        <v>97</v>
      </c>
      <c r="G631" s="7" cm="1">
        <f t="array" ref="G631">INT(planned(F631))</f>
        <v>138</v>
      </c>
      <c r="H631">
        <f>VLOOKUP(G631,Table4[[#All],[Cost Center]:[Client Type]],2,TRUE)</f>
        <v>6</v>
      </c>
      <c r="I631" t="str">
        <f>VLOOKUP(G631,Table4[[#All],[Cost Center]:[Client Type]],3,TRUE)</f>
        <v>Creek</v>
      </c>
      <c r="J631" t="str">
        <f>VLOOKUP(G631,Table4[[#All],[Cost Center]:[Client Type]],5,TRUE)</f>
        <v>Osama Mezayn</v>
      </c>
    </row>
    <row r="632" spans="6:10" x14ac:dyDescent="0.25">
      <c r="F632" t="s">
        <v>97</v>
      </c>
      <c r="G632" s="7" cm="1">
        <f t="array" ref="G632">INT(planned(F632))</f>
        <v>138</v>
      </c>
      <c r="H632">
        <f>VLOOKUP(G632,Table4[[#All],[Cost Center]:[Client Type]],2,TRUE)</f>
        <v>6</v>
      </c>
      <c r="I632" t="str">
        <f>VLOOKUP(G632,Table4[[#All],[Cost Center]:[Client Type]],3,TRUE)</f>
        <v>Creek</v>
      </c>
      <c r="J632" t="str">
        <f>VLOOKUP(G632,Table4[[#All],[Cost Center]:[Client Type]],5,TRUE)</f>
        <v>Osama Mezayn</v>
      </c>
    </row>
    <row r="633" spans="6:10" x14ac:dyDescent="0.25">
      <c r="F633" t="s">
        <v>97</v>
      </c>
      <c r="G633" s="7" cm="1">
        <f t="array" ref="G633">INT(planned(F633))</f>
        <v>138</v>
      </c>
      <c r="H633">
        <f>VLOOKUP(G633,Table4[[#All],[Cost Center]:[Client Type]],2,TRUE)</f>
        <v>6</v>
      </c>
      <c r="I633" t="str">
        <f>VLOOKUP(G633,Table4[[#All],[Cost Center]:[Client Type]],3,TRUE)</f>
        <v>Creek</v>
      </c>
      <c r="J633" t="str">
        <f>VLOOKUP(G633,Table4[[#All],[Cost Center]:[Client Type]],5,TRUE)</f>
        <v>Osama Mezayn</v>
      </c>
    </row>
    <row r="634" spans="6:10" x14ac:dyDescent="0.25">
      <c r="F634" t="s">
        <v>97</v>
      </c>
      <c r="G634" s="7" cm="1">
        <f t="array" ref="G634">INT(planned(F634))</f>
        <v>138</v>
      </c>
      <c r="H634">
        <f>VLOOKUP(G634,Table4[[#All],[Cost Center]:[Client Type]],2,TRUE)</f>
        <v>6</v>
      </c>
      <c r="I634" t="str">
        <f>VLOOKUP(G634,Table4[[#All],[Cost Center]:[Client Type]],3,TRUE)</f>
        <v>Creek</v>
      </c>
      <c r="J634" t="str">
        <f>VLOOKUP(G634,Table4[[#All],[Cost Center]:[Client Type]],5,TRUE)</f>
        <v>Osama Mezayn</v>
      </c>
    </row>
    <row r="635" spans="6:10" x14ac:dyDescent="0.25">
      <c r="F635" t="s">
        <v>97</v>
      </c>
      <c r="G635" s="7" cm="1">
        <f t="array" ref="G635">INT(planned(F635))</f>
        <v>138</v>
      </c>
      <c r="H635">
        <f>VLOOKUP(G635,Table4[[#All],[Cost Center]:[Client Type]],2,TRUE)</f>
        <v>6</v>
      </c>
      <c r="I635" t="str">
        <f>VLOOKUP(G635,Table4[[#All],[Cost Center]:[Client Type]],3,TRUE)</f>
        <v>Creek</v>
      </c>
      <c r="J635" t="str">
        <f>VLOOKUP(G635,Table4[[#All],[Cost Center]:[Client Type]],5,TRUE)</f>
        <v>Osama Mezayn</v>
      </c>
    </row>
    <row r="636" spans="6:10" x14ac:dyDescent="0.25">
      <c r="F636" t="s">
        <v>97</v>
      </c>
      <c r="G636" s="7" cm="1">
        <f t="array" ref="G636">INT(planned(F636))</f>
        <v>138</v>
      </c>
      <c r="H636">
        <f>VLOOKUP(G636,Table4[[#All],[Cost Center]:[Client Type]],2,TRUE)</f>
        <v>6</v>
      </c>
      <c r="I636" t="str">
        <f>VLOOKUP(G636,Table4[[#All],[Cost Center]:[Client Type]],3,TRUE)</f>
        <v>Creek</v>
      </c>
      <c r="J636" t="str">
        <f>VLOOKUP(G636,Table4[[#All],[Cost Center]:[Client Type]],5,TRUE)</f>
        <v>Osama Mezayn</v>
      </c>
    </row>
    <row r="637" spans="6:10" x14ac:dyDescent="0.25">
      <c r="F637" t="s">
        <v>97</v>
      </c>
      <c r="G637" s="7" cm="1">
        <f t="array" ref="G637">INT(planned(F637))</f>
        <v>138</v>
      </c>
      <c r="H637">
        <f>VLOOKUP(G637,Table4[[#All],[Cost Center]:[Client Type]],2,TRUE)</f>
        <v>6</v>
      </c>
      <c r="I637" t="str">
        <f>VLOOKUP(G637,Table4[[#All],[Cost Center]:[Client Type]],3,TRUE)</f>
        <v>Creek</v>
      </c>
      <c r="J637" t="str">
        <f>VLOOKUP(G637,Table4[[#All],[Cost Center]:[Client Type]],5,TRUE)</f>
        <v>Osama Mezayn</v>
      </c>
    </row>
    <row r="638" spans="6:10" x14ac:dyDescent="0.25">
      <c r="F638" t="s">
        <v>97</v>
      </c>
      <c r="G638" s="7" cm="1">
        <f t="array" ref="G638">INT(planned(F638))</f>
        <v>138</v>
      </c>
      <c r="H638">
        <f>VLOOKUP(G638,Table4[[#All],[Cost Center]:[Client Type]],2,TRUE)</f>
        <v>6</v>
      </c>
      <c r="I638" t="str">
        <f>VLOOKUP(G638,Table4[[#All],[Cost Center]:[Client Type]],3,TRUE)</f>
        <v>Creek</v>
      </c>
      <c r="J638" t="str">
        <f>VLOOKUP(G638,Table4[[#All],[Cost Center]:[Client Type]],5,TRUE)</f>
        <v>Osama Mezayn</v>
      </c>
    </row>
    <row r="639" spans="6:10" x14ac:dyDescent="0.25">
      <c r="F639" t="s">
        <v>97</v>
      </c>
      <c r="G639" s="7" cm="1">
        <f t="array" ref="G639">INT(planned(F639))</f>
        <v>138</v>
      </c>
      <c r="H639">
        <f>VLOOKUP(G639,Table4[[#All],[Cost Center]:[Client Type]],2,TRUE)</f>
        <v>6</v>
      </c>
      <c r="I639" t="str">
        <f>VLOOKUP(G639,Table4[[#All],[Cost Center]:[Client Type]],3,TRUE)</f>
        <v>Creek</v>
      </c>
      <c r="J639" t="str">
        <f>VLOOKUP(G639,Table4[[#All],[Cost Center]:[Client Type]],5,TRUE)</f>
        <v>Osama Mezayn</v>
      </c>
    </row>
    <row r="640" spans="6:10" x14ac:dyDescent="0.25">
      <c r="F640" t="s">
        <v>97</v>
      </c>
      <c r="G640" s="7" cm="1">
        <f t="array" ref="G640">INT(planned(F640))</f>
        <v>138</v>
      </c>
      <c r="H640">
        <f>VLOOKUP(G640,Table4[[#All],[Cost Center]:[Client Type]],2,TRUE)</f>
        <v>6</v>
      </c>
      <c r="I640" t="str">
        <f>VLOOKUP(G640,Table4[[#All],[Cost Center]:[Client Type]],3,TRUE)</f>
        <v>Creek</v>
      </c>
      <c r="J640" t="str">
        <f>VLOOKUP(G640,Table4[[#All],[Cost Center]:[Client Type]],5,TRUE)</f>
        <v>Osama Mezayn</v>
      </c>
    </row>
    <row r="641" spans="6:10" x14ac:dyDescent="0.25">
      <c r="F641" t="s">
        <v>97</v>
      </c>
      <c r="G641" s="7" cm="1">
        <f t="array" ref="G641">INT(planned(F641))</f>
        <v>138</v>
      </c>
      <c r="H641">
        <f>VLOOKUP(G641,Table4[[#All],[Cost Center]:[Client Type]],2,TRUE)</f>
        <v>6</v>
      </c>
      <c r="I641" t="str">
        <f>VLOOKUP(G641,Table4[[#All],[Cost Center]:[Client Type]],3,TRUE)</f>
        <v>Creek</v>
      </c>
      <c r="J641" t="str">
        <f>VLOOKUP(G641,Table4[[#All],[Cost Center]:[Client Type]],5,TRUE)</f>
        <v>Osama Mezayn</v>
      </c>
    </row>
    <row r="642" spans="6:10" x14ac:dyDescent="0.25">
      <c r="F642" t="s">
        <v>97</v>
      </c>
      <c r="G642" s="7" cm="1">
        <f t="array" ref="G642">INT(planned(F642))</f>
        <v>138</v>
      </c>
      <c r="H642">
        <f>VLOOKUP(G642,Table4[[#All],[Cost Center]:[Client Type]],2,TRUE)</f>
        <v>6</v>
      </c>
      <c r="I642" t="str">
        <f>VLOOKUP(G642,Table4[[#All],[Cost Center]:[Client Type]],3,TRUE)</f>
        <v>Creek</v>
      </c>
      <c r="J642" t="str">
        <f>VLOOKUP(G642,Table4[[#All],[Cost Center]:[Client Type]],5,TRUE)</f>
        <v>Osama Mezayn</v>
      </c>
    </row>
    <row r="643" spans="6:10" x14ac:dyDescent="0.25">
      <c r="F643" t="s">
        <v>97</v>
      </c>
      <c r="G643" s="7" cm="1">
        <f t="array" ref="G643">INT(planned(F643))</f>
        <v>138</v>
      </c>
      <c r="H643">
        <f>VLOOKUP(G643,Table4[[#All],[Cost Center]:[Client Type]],2,TRUE)</f>
        <v>6</v>
      </c>
      <c r="I643" t="str">
        <f>VLOOKUP(G643,Table4[[#All],[Cost Center]:[Client Type]],3,TRUE)</f>
        <v>Creek</v>
      </c>
      <c r="J643" t="str">
        <f>VLOOKUP(G643,Table4[[#All],[Cost Center]:[Client Type]],5,TRUE)</f>
        <v>Osama Mezayn</v>
      </c>
    </row>
    <row r="644" spans="6:10" x14ac:dyDescent="0.25">
      <c r="F644" t="s">
        <v>97</v>
      </c>
      <c r="G644" s="7" cm="1">
        <f t="array" ref="G644">INT(planned(F644))</f>
        <v>138</v>
      </c>
      <c r="H644">
        <f>VLOOKUP(G644,Table4[[#All],[Cost Center]:[Client Type]],2,TRUE)</f>
        <v>6</v>
      </c>
      <c r="I644" t="str">
        <f>VLOOKUP(G644,Table4[[#All],[Cost Center]:[Client Type]],3,TRUE)</f>
        <v>Creek</v>
      </c>
      <c r="J644" t="str">
        <f>VLOOKUP(G644,Table4[[#All],[Cost Center]:[Client Type]],5,TRUE)</f>
        <v>Osama Mezayn</v>
      </c>
    </row>
    <row r="645" spans="6:10" x14ac:dyDescent="0.25">
      <c r="F645" t="s">
        <v>97</v>
      </c>
      <c r="G645" s="7" cm="1">
        <f t="array" ref="G645">INT(planned(F645))</f>
        <v>138</v>
      </c>
      <c r="H645">
        <f>VLOOKUP(G645,Table4[[#All],[Cost Center]:[Client Type]],2,TRUE)</f>
        <v>6</v>
      </c>
      <c r="I645" t="str">
        <f>VLOOKUP(G645,Table4[[#All],[Cost Center]:[Client Type]],3,TRUE)</f>
        <v>Creek</v>
      </c>
      <c r="J645" t="str">
        <f>VLOOKUP(G645,Table4[[#All],[Cost Center]:[Client Type]],5,TRUE)</f>
        <v>Osama Mezayn</v>
      </c>
    </row>
    <row r="646" spans="6:10" x14ac:dyDescent="0.25">
      <c r="F646" t="s">
        <v>97</v>
      </c>
      <c r="G646" s="7" cm="1">
        <f t="array" ref="G646">INT(planned(F646))</f>
        <v>138</v>
      </c>
      <c r="H646">
        <f>VLOOKUP(G646,Table4[[#All],[Cost Center]:[Client Type]],2,TRUE)</f>
        <v>6</v>
      </c>
      <c r="I646" t="str">
        <f>VLOOKUP(G646,Table4[[#All],[Cost Center]:[Client Type]],3,TRUE)</f>
        <v>Creek</v>
      </c>
      <c r="J646" t="str">
        <f>VLOOKUP(G646,Table4[[#All],[Cost Center]:[Client Type]],5,TRUE)</f>
        <v>Osama Mezayn</v>
      </c>
    </row>
    <row r="647" spans="6:10" x14ac:dyDescent="0.25">
      <c r="F647" t="s">
        <v>97</v>
      </c>
      <c r="G647" s="7" cm="1">
        <f t="array" ref="G647">INT(planned(F647))</f>
        <v>138</v>
      </c>
      <c r="H647">
        <f>VLOOKUP(G647,Table4[[#All],[Cost Center]:[Client Type]],2,TRUE)</f>
        <v>6</v>
      </c>
      <c r="I647" t="str">
        <f>VLOOKUP(G647,Table4[[#All],[Cost Center]:[Client Type]],3,TRUE)</f>
        <v>Creek</v>
      </c>
      <c r="J647" t="str">
        <f>VLOOKUP(G647,Table4[[#All],[Cost Center]:[Client Type]],5,TRUE)</f>
        <v>Osama Mezayn</v>
      </c>
    </row>
    <row r="648" spans="6:10" x14ac:dyDescent="0.25">
      <c r="F648" t="s">
        <v>97</v>
      </c>
      <c r="G648" s="7" cm="1">
        <f t="array" ref="G648">INT(planned(F648))</f>
        <v>138</v>
      </c>
      <c r="H648">
        <f>VLOOKUP(G648,Table4[[#All],[Cost Center]:[Client Type]],2,TRUE)</f>
        <v>6</v>
      </c>
      <c r="I648" t="str">
        <f>VLOOKUP(G648,Table4[[#All],[Cost Center]:[Client Type]],3,TRUE)</f>
        <v>Creek</v>
      </c>
      <c r="J648" t="str">
        <f>VLOOKUP(G648,Table4[[#All],[Cost Center]:[Client Type]],5,TRUE)</f>
        <v>Osama Mezayn</v>
      </c>
    </row>
    <row r="649" spans="6:10" x14ac:dyDescent="0.25">
      <c r="F649" t="s">
        <v>97</v>
      </c>
      <c r="G649" s="7" cm="1">
        <f t="array" ref="G649">INT(planned(F649))</f>
        <v>138</v>
      </c>
      <c r="H649">
        <f>VLOOKUP(G649,Table4[[#All],[Cost Center]:[Client Type]],2,TRUE)</f>
        <v>6</v>
      </c>
      <c r="I649" t="str">
        <f>VLOOKUP(G649,Table4[[#All],[Cost Center]:[Client Type]],3,TRUE)</f>
        <v>Creek</v>
      </c>
      <c r="J649" t="str">
        <f>VLOOKUP(G649,Table4[[#All],[Cost Center]:[Client Type]],5,TRUE)</f>
        <v>Osama Mezayn</v>
      </c>
    </row>
    <row r="650" spans="6:10" x14ac:dyDescent="0.25">
      <c r="F650" t="s">
        <v>97</v>
      </c>
      <c r="G650" s="7" cm="1">
        <f t="array" ref="G650">INT(planned(F650))</f>
        <v>138</v>
      </c>
      <c r="H650">
        <f>VLOOKUP(G650,Table4[[#All],[Cost Center]:[Client Type]],2,TRUE)</f>
        <v>6</v>
      </c>
      <c r="I650" t="str">
        <f>VLOOKUP(G650,Table4[[#All],[Cost Center]:[Client Type]],3,TRUE)</f>
        <v>Creek</v>
      </c>
      <c r="J650" t="str">
        <f>VLOOKUP(G650,Table4[[#All],[Cost Center]:[Client Type]],5,TRUE)</f>
        <v>Osama Mezayn</v>
      </c>
    </row>
    <row r="651" spans="6:10" x14ac:dyDescent="0.25">
      <c r="F651" t="s">
        <v>97</v>
      </c>
      <c r="G651" s="7" cm="1">
        <f t="array" ref="G651">INT(planned(F651))</f>
        <v>138</v>
      </c>
      <c r="H651">
        <f>VLOOKUP(G651,Table4[[#All],[Cost Center]:[Client Type]],2,TRUE)</f>
        <v>6</v>
      </c>
      <c r="I651" t="str">
        <f>VLOOKUP(G651,Table4[[#All],[Cost Center]:[Client Type]],3,TRUE)</f>
        <v>Creek</v>
      </c>
      <c r="J651" t="str">
        <f>VLOOKUP(G651,Table4[[#All],[Cost Center]:[Client Type]],5,TRUE)</f>
        <v>Osama Mezayn</v>
      </c>
    </row>
    <row r="652" spans="6:10" x14ac:dyDescent="0.25">
      <c r="F652" t="s">
        <v>97</v>
      </c>
      <c r="G652" s="7" cm="1">
        <f t="array" ref="G652">INT(planned(F652))</f>
        <v>138</v>
      </c>
      <c r="H652">
        <f>VLOOKUP(G652,Table4[[#All],[Cost Center]:[Client Type]],2,TRUE)</f>
        <v>6</v>
      </c>
      <c r="I652" t="str">
        <f>VLOOKUP(G652,Table4[[#All],[Cost Center]:[Client Type]],3,TRUE)</f>
        <v>Creek</v>
      </c>
      <c r="J652" t="str">
        <f>VLOOKUP(G652,Table4[[#All],[Cost Center]:[Client Type]],5,TRUE)</f>
        <v>Osama Mezayn</v>
      </c>
    </row>
    <row r="653" spans="6:10" x14ac:dyDescent="0.25">
      <c r="F653" t="s">
        <v>97</v>
      </c>
      <c r="G653" s="7" cm="1">
        <f t="array" ref="G653">INT(planned(F653))</f>
        <v>138</v>
      </c>
      <c r="H653">
        <f>VLOOKUP(G653,Table4[[#All],[Cost Center]:[Client Type]],2,TRUE)</f>
        <v>6</v>
      </c>
      <c r="I653" t="str">
        <f>VLOOKUP(G653,Table4[[#All],[Cost Center]:[Client Type]],3,TRUE)</f>
        <v>Creek</v>
      </c>
      <c r="J653" t="str">
        <f>VLOOKUP(G653,Table4[[#All],[Cost Center]:[Client Type]],5,TRUE)</f>
        <v>Osama Mezayn</v>
      </c>
    </row>
    <row r="654" spans="6:10" x14ac:dyDescent="0.25">
      <c r="F654" t="s">
        <v>97</v>
      </c>
      <c r="G654" s="7" cm="1">
        <f t="array" ref="G654">INT(planned(F654))</f>
        <v>138</v>
      </c>
      <c r="H654">
        <f>VLOOKUP(G654,Table4[[#All],[Cost Center]:[Client Type]],2,TRUE)</f>
        <v>6</v>
      </c>
      <c r="I654" t="str">
        <f>VLOOKUP(G654,Table4[[#All],[Cost Center]:[Client Type]],3,TRUE)</f>
        <v>Creek</v>
      </c>
      <c r="J654" t="str">
        <f>VLOOKUP(G654,Table4[[#All],[Cost Center]:[Client Type]],5,TRUE)</f>
        <v>Osama Mezayn</v>
      </c>
    </row>
    <row r="655" spans="6:10" x14ac:dyDescent="0.25">
      <c r="F655" t="s">
        <v>97</v>
      </c>
      <c r="G655" s="7" cm="1">
        <f t="array" ref="G655">INT(planned(F655))</f>
        <v>138</v>
      </c>
      <c r="H655">
        <f>VLOOKUP(G655,Table4[[#All],[Cost Center]:[Client Type]],2,TRUE)</f>
        <v>6</v>
      </c>
      <c r="I655" t="str">
        <f>VLOOKUP(G655,Table4[[#All],[Cost Center]:[Client Type]],3,TRUE)</f>
        <v>Creek</v>
      </c>
      <c r="J655" t="str">
        <f>VLOOKUP(G655,Table4[[#All],[Cost Center]:[Client Type]],5,TRUE)</f>
        <v>Osama Mezayn</v>
      </c>
    </row>
    <row r="656" spans="6:10" x14ac:dyDescent="0.25">
      <c r="F656" t="s">
        <v>97</v>
      </c>
      <c r="G656" s="7" cm="1">
        <f t="array" ref="G656">INT(planned(F656))</f>
        <v>138</v>
      </c>
      <c r="H656">
        <f>VLOOKUP(G656,Table4[[#All],[Cost Center]:[Client Type]],2,TRUE)</f>
        <v>6</v>
      </c>
      <c r="I656" t="str">
        <f>VLOOKUP(G656,Table4[[#All],[Cost Center]:[Client Type]],3,TRUE)</f>
        <v>Creek</v>
      </c>
      <c r="J656" t="str">
        <f>VLOOKUP(G656,Table4[[#All],[Cost Center]:[Client Type]],5,TRUE)</f>
        <v>Osama Mezayn</v>
      </c>
    </row>
    <row r="657" spans="6:10" x14ac:dyDescent="0.25">
      <c r="F657" t="s">
        <v>97</v>
      </c>
      <c r="G657" s="7" cm="1">
        <f t="array" ref="G657">INT(planned(F657))</f>
        <v>138</v>
      </c>
      <c r="H657">
        <f>VLOOKUP(G657,Table4[[#All],[Cost Center]:[Client Type]],2,TRUE)</f>
        <v>6</v>
      </c>
      <c r="I657" t="str">
        <f>VLOOKUP(G657,Table4[[#All],[Cost Center]:[Client Type]],3,TRUE)</f>
        <v>Creek</v>
      </c>
      <c r="J657" t="str">
        <f>VLOOKUP(G657,Table4[[#All],[Cost Center]:[Client Type]],5,TRUE)</f>
        <v>Osama Mezayn</v>
      </c>
    </row>
    <row r="658" spans="6:10" x14ac:dyDescent="0.25">
      <c r="F658" t="s">
        <v>97</v>
      </c>
      <c r="G658" s="7" cm="1">
        <f t="array" ref="G658">INT(planned(F658))</f>
        <v>138</v>
      </c>
      <c r="H658">
        <f>VLOOKUP(G658,Table4[[#All],[Cost Center]:[Client Type]],2,TRUE)</f>
        <v>6</v>
      </c>
      <c r="I658" t="str">
        <f>VLOOKUP(G658,Table4[[#All],[Cost Center]:[Client Type]],3,TRUE)</f>
        <v>Creek</v>
      </c>
      <c r="J658" t="str">
        <f>VLOOKUP(G658,Table4[[#All],[Cost Center]:[Client Type]],5,TRUE)</f>
        <v>Osama Mezayn</v>
      </c>
    </row>
    <row r="659" spans="6:10" x14ac:dyDescent="0.25">
      <c r="F659" t="s">
        <v>97</v>
      </c>
      <c r="G659" s="7" cm="1">
        <f t="array" ref="G659">INT(planned(F659))</f>
        <v>138</v>
      </c>
      <c r="H659">
        <f>VLOOKUP(G659,Table4[[#All],[Cost Center]:[Client Type]],2,TRUE)</f>
        <v>6</v>
      </c>
      <c r="I659" t="str">
        <f>VLOOKUP(G659,Table4[[#All],[Cost Center]:[Client Type]],3,TRUE)</f>
        <v>Creek</v>
      </c>
      <c r="J659" t="str">
        <f>VLOOKUP(G659,Table4[[#All],[Cost Center]:[Client Type]],5,TRUE)</f>
        <v>Osama Mezayn</v>
      </c>
    </row>
    <row r="660" spans="6:10" x14ac:dyDescent="0.25">
      <c r="F660" t="s">
        <v>97</v>
      </c>
      <c r="G660" s="7" cm="1">
        <f t="array" ref="G660">INT(planned(F660))</f>
        <v>138</v>
      </c>
      <c r="H660">
        <f>VLOOKUP(G660,Table4[[#All],[Cost Center]:[Client Type]],2,TRUE)</f>
        <v>6</v>
      </c>
      <c r="I660" t="str">
        <f>VLOOKUP(G660,Table4[[#All],[Cost Center]:[Client Type]],3,TRUE)</f>
        <v>Creek</v>
      </c>
      <c r="J660" t="str">
        <f>VLOOKUP(G660,Table4[[#All],[Cost Center]:[Client Type]],5,TRUE)</f>
        <v>Osama Mezayn</v>
      </c>
    </row>
    <row r="661" spans="6:10" x14ac:dyDescent="0.25">
      <c r="F661" t="s">
        <v>97</v>
      </c>
      <c r="G661" s="7" cm="1">
        <f t="array" ref="G661">INT(planned(F661))</f>
        <v>138</v>
      </c>
      <c r="H661">
        <f>VLOOKUP(G661,Table4[[#All],[Cost Center]:[Client Type]],2,TRUE)</f>
        <v>6</v>
      </c>
      <c r="I661" t="str">
        <f>VLOOKUP(G661,Table4[[#All],[Cost Center]:[Client Type]],3,TRUE)</f>
        <v>Creek</v>
      </c>
      <c r="J661" t="str">
        <f>VLOOKUP(G661,Table4[[#All],[Cost Center]:[Client Type]],5,TRUE)</f>
        <v>Osama Mezayn</v>
      </c>
    </row>
    <row r="662" spans="6:10" x14ac:dyDescent="0.25">
      <c r="F662" t="s">
        <v>97</v>
      </c>
      <c r="G662" s="7" cm="1">
        <f t="array" ref="G662">INT(planned(F662))</f>
        <v>138</v>
      </c>
      <c r="H662">
        <f>VLOOKUP(G662,Table4[[#All],[Cost Center]:[Client Type]],2,TRUE)</f>
        <v>6</v>
      </c>
      <c r="I662" t="str">
        <f>VLOOKUP(G662,Table4[[#All],[Cost Center]:[Client Type]],3,TRUE)</f>
        <v>Creek</v>
      </c>
      <c r="J662" t="str">
        <f>VLOOKUP(G662,Table4[[#All],[Cost Center]:[Client Type]],5,TRUE)</f>
        <v>Osama Mezayn</v>
      </c>
    </row>
    <row r="663" spans="6:10" x14ac:dyDescent="0.25">
      <c r="F663" t="s">
        <v>97</v>
      </c>
      <c r="G663" s="7" cm="1">
        <f t="array" ref="G663">INT(planned(F663))</f>
        <v>138</v>
      </c>
      <c r="H663">
        <f>VLOOKUP(G663,Table4[[#All],[Cost Center]:[Client Type]],2,TRUE)</f>
        <v>6</v>
      </c>
      <c r="I663" t="str">
        <f>VLOOKUP(G663,Table4[[#All],[Cost Center]:[Client Type]],3,TRUE)</f>
        <v>Creek</v>
      </c>
      <c r="J663" t="str">
        <f>VLOOKUP(G663,Table4[[#All],[Cost Center]:[Client Type]],5,TRUE)</f>
        <v>Osama Mezayn</v>
      </c>
    </row>
    <row r="664" spans="6:10" x14ac:dyDescent="0.25">
      <c r="F664" t="s">
        <v>97</v>
      </c>
      <c r="G664" s="7" cm="1">
        <f t="array" ref="G664">INT(planned(F664))</f>
        <v>138</v>
      </c>
      <c r="H664">
        <f>VLOOKUP(G664,Table4[[#All],[Cost Center]:[Client Type]],2,TRUE)</f>
        <v>6</v>
      </c>
      <c r="I664" t="str">
        <f>VLOOKUP(G664,Table4[[#All],[Cost Center]:[Client Type]],3,TRUE)</f>
        <v>Creek</v>
      </c>
      <c r="J664" t="str">
        <f>VLOOKUP(G664,Table4[[#All],[Cost Center]:[Client Type]],5,TRUE)</f>
        <v>Osama Mezayn</v>
      </c>
    </row>
    <row r="665" spans="6:10" x14ac:dyDescent="0.25">
      <c r="F665" t="s">
        <v>97</v>
      </c>
      <c r="G665" s="7" cm="1">
        <f t="array" ref="G665">INT(planned(F665))</f>
        <v>138</v>
      </c>
      <c r="H665">
        <f>VLOOKUP(G665,Table4[[#All],[Cost Center]:[Client Type]],2,TRUE)</f>
        <v>6</v>
      </c>
      <c r="I665" t="str">
        <f>VLOOKUP(G665,Table4[[#All],[Cost Center]:[Client Type]],3,TRUE)</f>
        <v>Creek</v>
      </c>
      <c r="J665" t="str">
        <f>VLOOKUP(G665,Table4[[#All],[Cost Center]:[Client Type]],5,TRUE)</f>
        <v>Osama Mezayn</v>
      </c>
    </row>
    <row r="666" spans="6:10" x14ac:dyDescent="0.25">
      <c r="F666" t="s">
        <v>97</v>
      </c>
      <c r="G666" s="7" cm="1">
        <f t="array" ref="G666">INT(planned(F666))</f>
        <v>138</v>
      </c>
      <c r="H666">
        <f>VLOOKUP(G666,Table4[[#All],[Cost Center]:[Client Type]],2,TRUE)</f>
        <v>6</v>
      </c>
      <c r="I666" t="str">
        <f>VLOOKUP(G666,Table4[[#All],[Cost Center]:[Client Type]],3,TRUE)</f>
        <v>Creek</v>
      </c>
      <c r="J666" t="str">
        <f>VLOOKUP(G666,Table4[[#All],[Cost Center]:[Client Type]],5,TRUE)</f>
        <v>Osama Mezayn</v>
      </c>
    </row>
    <row r="667" spans="6:10" x14ac:dyDescent="0.25">
      <c r="F667" t="s">
        <v>97</v>
      </c>
      <c r="G667" s="7" cm="1">
        <f t="array" ref="G667">INT(planned(F667))</f>
        <v>138</v>
      </c>
      <c r="H667">
        <f>VLOOKUP(G667,Table4[[#All],[Cost Center]:[Client Type]],2,TRUE)</f>
        <v>6</v>
      </c>
      <c r="I667" t="str">
        <f>VLOOKUP(G667,Table4[[#All],[Cost Center]:[Client Type]],3,TRUE)</f>
        <v>Creek</v>
      </c>
      <c r="J667" t="str">
        <f>VLOOKUP(G667,Table4[[#All],[Cost Center]:[Client Type]],5,TRUE)</f>
        <v>Osama Mezayn</v>
      </c>
    </row>
    <row r="668" spans="6:10" x14ac:dyDescent="0.25">
      <c r="F668" t="s">
        <v>97</v>
      </c>
      <c r="G668" s="7" cm="1">
        <f t="array" ref="G668">INT(planned(F668))</f>
        <v>138</v>
      </c>
      <c r="H668">
        <f>VLOOKUP(G668,Table4[[#All],[Cost Center]:[Client Type]],2,TRUE)</f>
        <v>6</v>
      </c>
      <c r="I668" t="str">
        <f>VLOOKUP(G668,Table4[[#All],[Cost Center]:[Client Type]],3,TRUE)</f>
        <v>Creek</v>
      </c>
      <c r="J668" t="str">
        <f>VLOOKUP(G668,Table4[[#All],[Cost Center]:[Client Type]],5,TRUE)</f>
        <v>Osama Mezayn</v>
      </c>
    </row>
    <row r="669" spans="6:10" x14ac:dyDescent="0.25">
      <c r="F669" t="s">
        <v>97</v>
      </c>
      <c r="G669" s="7" cm="1">
        <f t="array" ref="G669">INT(planned(F669))</f>
        <v>138</v>
      </c>
      <c r="H669">
        <f>VLOOKUP(G669,Table4[[#All],[Cost Center]:[Client Type]],2,TRUE)</f>
        <v>6</v>
      </c>
      <c r="I669" t="str">
        <f>VLOOKUP(G669,Table4[[#All],[Cost Center]:[Client Type]],3,TRUE)</f>
        <v>Creek</v>
      </c>
      <c r="J669" t="str">
        <f>VLOOKUP(G669,Table4[[#All],[Cost Center]:[Client Type]],5,TRUE)</f>
        <v>Osama Mezayn</v>
      </c>
    </row>
    <row r="670" spans="6:10" x14ac:dyDescent="0.25">
      <c r="F670" t="s">
        <v>97</v>
      </c>
      <c r="G670" s="7" cm="1">
        <f t="array" ref="G670">INT(planned(F670))</f>
        <v>138</v>
      </c>
      <c r="H670">
        <f>VLOOKUP(G670,Table4[[#All],[Cost Center]:[Client Type]],2,TRUE)</f>
        <v>6</v>
      </c>
      <c r="I670" t="str">
        <f>VLOOKUP(G670,Table4[[#All],[Cost Center]:[Client Type]],3,TRUE)</f>
        <v>Creek</v>
      </c>
      <c r="J670" t="str">
        <f>VLOOKUP(G670,Table4[[#All],[Cost Center]:[Client Type]],5,TRUE)</f>
        <v>Osama Mezayn</v>
      </c>
    </row>
    <row r="671" spans="6:10" x14ac:dyDescent="0.25">
      <c r="F671" t="s">
        <v>97</v>
      </c>
      <c r="G671" s="7" cm="1">
        <f t="array" ref="G671">INT(planned(F671))</f>
        <v>138</v>
      </c>
      <c r="H671">
        <f>VLOOKUP(G671,Table4[[#All],[Cost Center]:[Client Type]],2,TRUE)</f>
        <v>6</v>
      </c>
      <c r="I671" t="str">
        <f>VLOOKUP(G671,Table4[[#All],[Cost Center]:[Client Type]],3,TRUE)</f>
        <v>Creek</v>
      </c>
      <c r="J671" t="str">
        <f>VLOOKUP(G671,Table4[[#All],[Cost Center]:[Client Type]],5,TRUE)</f>
        <v>Osama Mezayn</v>
      </c>
    </row>
    <row r="672" spans="6:10" x14ac:dyDescent="0.25">
      <c r="F672" t="s">
        <v>97</v>
      </c>
      <c r="G672" s="7" cm="1">
        <f t="array" ref="G672">INT(planned(F672))</f>
        <v>138</v>
      </c>
      <c r="H672">
        <f>VLOOKUP(G672,Table4[[#All],[Cost Center]:[Client Type]],2,TRUE)</f>
        <v>6</v>
      </c>
      <c r="I672" t="str">
        <f>VLOOKUP(G672,Table4[[#All],[Cost Center]:[Client Type]],3,TRUE)</f>
        <v>Creek</v>
      </c>
      <c r="J672" t="str">
        <f>VLOOKUP(G672,Table4[[#All],[Cost Center]:[Client Type]],5,TRUE)</f>
        <v>Osama Mezayn</v>
      </c>
    </row>
    <row r="673" spans="6:10" x14ac:dyDescent="0.25">
      <c r="F673" t="s">
        <v>97</v>
      </c>
      <c r="G673" s="7" cm="1">
        <f t="array" ref="G673">INT(planned(F673))</f>
        <v>138</v>
      </c>
      <c r="H673">
        <f>VLOOKUP(G673,Table4[[#All],[Cost Center]:[Client Type]],2,TRUE)</f>
        <v>6</v>
      </c>
      <c r="I673" t="str">
        <f>VLOOKUP(G673,Table4[[#All],[Cost Center]:[Client Type]],3,TRUE)</f>
        <v>Creek</v>
      </c>
      <c r="J673" t="str">
        <f>VLOOKUP(G673,Table4[[#All],[Cost Center]:[Client Type]],5,TRUE)</f>
        <v>Osama Mezayn</v>
      </c>
    </row>
    <row r="674" spans="6:10" x14ac:dyDescent="0.25">
      <c r="F674" t="s">
        <v>97</v>
      </c>
      <c r="G674" s="7" cm="1">
        <f t="array" ref="G674">INT(planned(F674))</f>
        <v>138</v>
      </c>
      <c r="H674">
        <f>VLOOKUP(G674,Table4[[#All],[Cost Center]:[Client Type]],2,TRUE)</f>
        <v>6</v>
      </c>
      <c r="I674" t="str">
        <f>VLOOKUP(G674,Table4[[#All],[Cost Center]:[Client Type]],3,TRUE)</f>
        <v>Creek</v>
      </c>
      <c r="J674" t="str">
        <f>VLOOKUP(G674,Table4[[#All],[Cost Center]:[Client Type]],5,TRUE)</f>
        <v>Osama Mezayn</v>
      </c>
    </row>
    <row r="675" spans="6:10" x14ac:dyDescent="0.25">
      <c r="F675" t="s">
        <v>97</v>
      </c>
      <c r="G675" s="7" cm="1">
        <f t="array" ref="G675">INT(planned(F675))</f>
        <v>138</v>
      </c>
      <c r="H675">
        <f>VLOOKUP(G675,Table4[[#All],[Cost Center]:[Client Type]],2,TRUE)</f>
        <v>6</v>
      </c>
      <c r="I675" t="str">
        <f>VLOOKUP(G675,Table4[[#All],[Cost Center]:[Client Type]],3,TRUE)</f>
        <v>Creek</v>
      </c>
      <c r="J675" t="str">
        <f>VLOOKUP(G675,Table4[[#All],[Cost Center]:[Client Type]],5,TRUE)</f>
        <v>Osama Mezayn</v>
      </c>
    </row>
    <row r="676" spans="6:10" x14ac:dyDescent="0.25">
      <c r="F676" t="s">
        <v>97</v>
      </c>
      <c r="G676" s="7" cm="1">
        <f t="array" ref="G676">INT(planned(F676))</f>
        <v>138</v>
      </c>
      <c r="H676">
        <f>VLOOKUP(G676,Table4[[#All],[Cost Center]:[Client Type]],2,TRUE)</f>
        <v>6</v>
      </c>
      <c r="I676" t="str">
        <f>VLOOKUP(G676,Table4[[#All],[Cost Center]:[Client Type]],3,TRUE)</f>
        <v>Creek</v>
      </c>
      <c r="J676" t="str">
        <f>VLOOKUP(G676,Table4[[#All],[Cost Center]:[Client Type]],5,TRUE)</f>
        <v>Osama Mezayn</v>
      </c>
    </row>
    <row r="677" spans="6:10" x14ac:dyDescent="0.25">
      <c r="F677" t="s">
        <v>97</v>
      </c>
      <c r="G677" s="7" cm="1">
        <f t="array" ref="G677">INT(planned(F677))</f>
        <v>138</v>
      </c>
      <c r="H677">
        <f>VLOOKUP(G677,Table4[[#All],[Cost Center]:[Client Type]],2,TRUE)</f>
        <v>6</v>
      </c>
      <c r="I677" t="str">
        <f>VLOOKUP(G677,Table4[[#All],[Cost Center]:[Client Type]],3,TRUE)</f>
        <v>Creek</v>
      </c>
      <c r="J677" t="str">
        <f>VLOOKUP(G677,Table4[[#All],[Cost Center]:[Client Type]],5,TRUE)</f>
        <v>Osama Mezayn</v>
      </c>
    </row>
    <row r="678" spans="6:10" x14ac:dyDescent="0.25">
      <c r="F678" t="s">
        <v>97</v>
      </c>
      <c r="G678" s="7" cm="1">
        <f t="array" ref="G678">INT(planned(F678))</f>
        <v>138</v>
      </c>
      <c r="H678">
        <f>VLOOKUP(G678,Table4[[#All],[Cost Center]:[Client Type]],2,TRUE)</f>
        <v>6</v>
      </c>
      <c r="I678" t="str">
        <f>VLOOKUP(G678,Table4[[#All],[Cost Center]:[Client Type]],3,TRUE)</f>
        <v>Creek</v>
      </c>
      <c r="J678" t="str">
        <f>VLOOKUP(G678,Table4[[#All],[Cost Center]:[Client Type]],5,TRUE)</f>
        <v>Osama Mezayn</v>
      </c>
    </row>
    <row r="679" spans="6:10" x14ac:dyDescent="0.25">
      <c r="F679" t="s">
        <v>97</v>
      </c>
      <c r="G679" s="7" cm="1">
        <f t="array" ref="G679">INT(planned(F679))</f>
        <v>138</v>
      </c>
      <c r="H679">
        <f>VLOOKUP(G679,Table4[[#All],[Cost Center]:[Client Type]],2,TRUE)</f>
        <v>6</v>
      </c>
      <c r="I679" t="str">
        <f>VLOOKUP(G679,Table4[[#All],[Cost Center]:[Client Type]],3,TRUE)</f>
        <v>Creek</v>
      </c>
      <c r="J679" t="str">
        <f>VLOOKUP(G679,Table4[[#All],[Cost Center]:[Client Type]],5,TRUE)</f>
        <v>Osama Mezayn</v>
      </c>
    </row>
    <row r="680" spans="6:10" x14ac:dyDescent="0.25">
      <c r="F680" t="s">
        <v>97</v>
      </c>
      <c r="G680" s="7" cm="1">
        <f t="array" ref="G680">INT(planned(F680))</f>
        <v>138</v>
      </c>
      <c r="H680">
        <f>VLOOKUP(G680,Table4[[#All],[Cost Center]:[Client Type]],2,TRUE)</f>
        <v>6</v>
      </c>
      <c r="I680" t="str">
        <f>VLOOKUP(G680,Table4[[#All],[Cost Center]:[Client Type]],3,TRUE)</f>
        <v>Creek</v>
      </c>
      <c r="J680" t="str">
        <f>VLOOKUP(G680,Table4[[#All],[Cost Center]:[Client Type]],5,TRUE)</f>
        <v>Osama Mezayn</v>
      </c>
    </row>
    <row r="681" spans="6:10" x14ac:dyDescent="0.25">
      <c r="F681" t="s">
        <v>97</v>
      </c>
      <c r="G681" s="7" cm="1">
        <f t="array" ref="G681">INT(planned(F681))</f>
        <v>138</v>
      </c>
      <c r="H681">
        <f>VLOOKUP(G681,Table4[[#All],[Cost Center]:[Client Type]],2,TRUE)</f>
        <v>6</v>
      </c>
      <c r="I681" t="str">
        <f>VLOOKUP(G681,Table4[[#All],[Cost Center]:[Client Type]],3,TRUE)</f>
        <v>Creek</v>
      </c>
      <c r="J681" t="str">
        <f>VLOOKUP(G681,Table4[[#All],[Cost Center]:[Client Type]],5,TRUE)</f>
        <v>Osama Mezayn</v>
      </c>
    </row>
    <row r="682" spans="6:10" x14ac:dyDescent="0.25">
      <c r="F682" t="s">
        <v>97</v>
      </c>
      <c r="G682" s="7" cm="1">
        <f t="array" ref="G682">INT(planned(F682))</f>
        <v>138</v>
      </c>
      <c r="H682">
        <f>VLOOKUP(G682,Table4[[#All],[Cost Center]:[Client Type]],2,TRUE)</f>
        <v>6</v>
      </c>
      <c r="I682" t="str">
        <f>VLOOKUP(G682,Table4[[#All],[Cost Center]:[Client Type]],3,TRUE)</f>
        <v>Creek</v>
      </c>
      <c r="J682" t="str">
        <f>VLOOKUP(G682,Table4[[#All],[Cost Center]:[Client Type]],5,TRUE)</f>
        <v>Osama Mezayn</v>
      </c>
    </row>
    <row r="683" spans="6:10" x14ac:dyDescent="0.25">
      <c r="F683" t="s">
        <v>97</v>
      </c>
      <c r="G683" s="7" cm="1">
        <f t="array" ref="G683">INT(planned(F683))</f>
        <v>138</v>
      </c>
      <c r="H683">
        <f>VLOOKUP(G683,Table4[[#All],[Cost Center]:[Client Type]],2,TRUE)</f>
        <v>6</v>
      </c>
      <c r="I683" t="str">
        <f>VLOOKUP(G683,Table4[[#All],[Cost Center]:[Client Type]],3,TRUE)</f>
        <v>Creek</v>
      </c>
      <c r="J683" t="str">
        <f>VLOOKUP(G683,Table4[[#All],[Cost Center]:[Client Type]],5,TRUE)</f>
        <v>Osama Mezayn</v>
      </c>
    </row>
    <row r="684" spans="6:10" x14ac:dyDescent="0.25">
      <c r="F684" t="s">
        <v>97</v>
      </c>
      <c r="G684" s="7" cm="1">
        <f t="array" ref="G684">INT(planned(F684))</f>
        <v>138</v>
      </c>
      <c r="H684">
        <f>VLOOKUP(G684,Table4[[#All],[Cost Center]:[Client Type]],2,TRUE)</f>
        <v>6</v>
      </c>
      <c r="I684" t="str">
        <f>VLOOKUP(G684,Table4[[#All],[Cost Center]:[Client Type]],3,TRUE)</f>
        <v>Creek</v>
      </c>
      <c r="J684" t="str">
        <f>VLOOKUP(G684,Table4[[#All],[Cost Center]:[Client Type]],5,TRUE)</f>
        <v>Osama Mezayn</v>
      </c>
    </row>
    <row r="685" spans="6:10" x14ac:dyDescent="0.25">
      <c r="F685" t="s">
        <v>97</v>
      </c>
      <c r="G685" s="7" cm="1">
        <f t="array" ref="G685">INT(planned(F685))</f>
        <v>138</v>
      </c>
      <c r="H685">
        <f>VLOOKUP(G685,Table4[[#All],[Cost Center]:[Client Type]],2,TRUE)</f>
        <v>6</v>
      </c>
      <c r="I685" t="str">
        <f>VLOOKUP(G685,Table4[[#All],[Cost Center]:[Client Type]],3,TRUE)</f>
        <v>Creek</v>
      </c>
      <c r="J685" t="str">
        <f>VLOOKUP(G685,Table4[[#All],[Cost Center]:[Client Type]],5,TRUE)</f>
        <v>Osama Mezayn</v>
      </c>
    </row>
    <row r="686" spans="6:10" x14ac:dyDescent="0.25">
      <c r="F686" t="s">
        <v>97</v>
      </c>
      <c r="G686" s="7" cm="1">
        <f t="array" ref="G686">INT(planned(F686))</f>
        <v>138</v>
      </c>
      <c r="H686">
        <f>VLOOKUP(G686,Table4[[#All],[Cost Center]:[Client Type]],2,TRUE)</f>
        <v>6</v>
      </c>
      <c r="I686" t="str">
        <f>VLOOKUP(G686,Table4[[#All],[Cost Center]:[Client Type]],3,TRUE)</f>
        <v>Creek</v>
      </c>
      <c r="J686" t="str">
        <f>VLOOKUP(G686,Table4[[#All],[Cost Center]:[Client Type]],5,TRUE)</f>
        <v>Osama Mezayn</v>
      </c>
    </row>
    <row r="687" spans="6:10" x14ac:dyDescent="0.25">
      <c r="F687" t="s">
        <v>97</v>
      </c>
      <c r="G687" s="7" cm="1">
        <f t="array" ref="G687">INT(planned(F687))</f>
        <v>138</v>
      </c>
      <c r="H687">
        <f>VLOOKUP(G687,Table4[[#All],[Cost Center]:[Client Type]],2,TRUE)</f>
        <v>6</v>
      </c>
      <c r="I687" t="str">
        <f>VLOOKUP(G687,Table4[[#All],[Cost Center]:[Client Type]],3,TRUE)</f>
        <v>Creek</v>
      </c>
      <c r="J687" t="str">
        <f>VLOOKUP(G687,Table4[[#All],[Cost Center]:[Client Type]],5,TRUE)</f>
        <v>Osama Mezayn</v>
      </c>
    </row>
    <row r="688" spans="6:10" x14ac:dyDescent="0.25">
      <c r="F688" t="s">
        <v>97</v>
      </c>
      <c r="G688" s="7" cm="1">
        <f t="array" ref="G688">INT(planned(F688))</f>
        <v>138</v>
      </c>
      <c r="H688">
        <f>VLOOKUP(G688,Table4[[#All],[Cost Center]:[Client Type]],2,TRUE)</f>
        <v>6</v>
      </c>
      <c r="I688" t="str">
        <f>VLOOKUP(G688,Table4[[#All],[Cost Center]:[Client Type]],3,TRUE)</f>
        <v>Creek</v>
      </c>
      <c r="J688" t="str">
        <f>VLOOKUP(G688,Table4[[#All],[Cost Center]:[Client Type]],5,TRUE)</f>
        <v>Osama Mezayn</v>
      </c>
    </row>
    <row r="689" spans="6:10" x14ac:dyDescent="0.25">
      <c r="F689" t="s">
        <v>97</v>
      </c>
      <c r="G689" s="7" cm="1">
        <f t="array" ref="G689">INT(planned(F689))</f>
        <v>138</v>
      </c>
      <c r="H689">
        <f>VLOOKUP(G689,Table4[[#All],[Cost Center]:[Client Type]],2,TRUE)</f>
        <v>6</v>
      </c>
      <c r="I689" t="str">
        <f>VLOOKUP(G689,Table4[[#All],[Cost Center]:[Client Type]],3,TRUE)</f>
        <v>Creek</v>
      </c>
      <c r="J689" t="str">
        <f>VLOOKUP(G689,Table4[[#All],[Cost Center]:[Client Type]],5,TRUE)</f>
        <v>Osama Mezayn</v>
      </c>
    </row>
    <row r="690" spans="6:10" x14ac:dyDescent="0.25">
      <c r="F690" t="s">
        <v>97</v>
      </c>
      <c r="G690" s="7" cm="1">
        <f t="array" ref="G690">INT(planned(F690))</f>
        <v>138</v>
      </c>
      <c r="H690">
        <f>VLOOKUP(G690,Table4[[#All],[Cost Center]:[Client Type]],2,TRUE)</f>
        <v>6</v>
      </c>
      <c r="I690" t="str">
        <f>VLOOKUP(G690,Table4[[#All],[Cost Center]:[Client Type]],3,TRUE)</f>
        <v>Creek</v>
      </c>
      <c r="J690" t="str">
        <f>VLOOKUP(G690,Table4[[#All],[Cost Center]:[Client Type]],5,TRUE)</f>
        <v>Osama Mezayn</v>
      </c>
    </row>
    <row r="691" spans="6:10" x14ac:dyDescent="0.25">
      <c r="F691" t="s">
        <v>97</v>
      </c>
      <c r="G691" s="7" cm="1">
        <f t="array" ref="G691">INT(planned(F691))</f>
        <v>138</v>
      </c>
      <c r="H691">
        <f>VLOOKUP(G691,Table4[[#All],[Cost Center]:[Client Type]],2,TRUE)</f>
        <v>6</v>
      </c>
      <c r="I691" t="str">
        <f>VLOOKUP(G691,Table4[[#All],[Cost Center]:[Client Type]],3,TRUE)</f>
        <v>Creek</v>
      </c>
      <c r="J691" t="str">
        <f>VLOOKUP(G691,Table4[[#All],[Cost Center]:[Client Type]],5,TRUE)</f>
        <v>Osama Mezayn</v>
      </c>
    </row>
    <row r="692" spans="6:10" x14ac:dyDescent="0.25">
      <c r="F692" t="s">
        <v>97</v>
      </c>
      <c r="G692" s="7" cm="1">
        <f t="array" ref="G692">INT(planned(F692))</f>
        <v>138</v>
      </c>
      <c r="H692">
        <f>VLOOKUP(G692,Table4[[#All],[Cost Center]:[Client Type]],2,TRUE)</f>
        <v>6</v>
      </c>
      <c r="I692" t="str">
        <f>VLOOKUP(G692,Table4[[#All],[Cost Center]:[Client Type]],3,TRUE)</f>
        <v>Creek</v>
      </c>
      <c r="J692" t="str">
        <f>VLOOKUP(G692,Table4[[#All],[Cost Center]:[Client Type]],5,TRUE)</f>
        <v>Osama Mezayn</v>
      </c>
    </row>
    <row r="693" spans="6:10" x14ac:dyDescent="0.25">
      <c r="F693" t="s">
        <v>97</v>
      </c>
      <c r="G693" s="7" cm="1">
        <f t="array" ref="G693">INT(planned(F693))</f>
        <v>138</v>
      </c>
      <c r="H693">
        <f>VLOOKUP(G693,Table4[[#All],[Cost Center]:[Client Type]],2,TRUE)</f>
        <v>6</v>
      </c>
      <c r="I693" t="str">
        <f>VLOOKUP(G693,Table4[[#All],[Cost Center]:[Client Type]],3,TRUE)</f>
        <v>Creek</v>
      </c>
      <c r="J693" t="str">
        <f>VLOOKUP(G693,Table4[[#All],[Cost Center]:[Client Type]],5,TRUE)</f>
        <v>Osama Mezayn</v>
      </c>
    </row>
    <row r="694" spans="6:10" x14ac:dyDescent="0.25">
      <c r="F694" t="s">
        <v>97</v>
      </c>
      <c r="G694" s="7" cm="1">
        <f t="array" ref="G694">INT(planned(F694))</f>
        <v>138</v>
      </c>
      <c r="H694">
        <f>VLOOKUP(G694,Table4[[#All],[Cost Center]:[Client Type]],2,TRUE)</f>
        <v>6</v>
      </c>
      <c r="I694" t="str">
        <f>VLOOKUP(G694,Table4[[#All],[Cost Center]:[Client Type]],3,TRUE)</f>
        <v>Creek</v>
      </c>
      <c r="J694" t="str">
        <f>VLOOKUP(G694,Table4[[#All],[Cost Center]:[Client Type]],5,TRUE)</f>
        <v>Osama Mezayn</v>
      </c>
    </row>
    <row r="695" spans="6:10" x14ac:dyDescent="0.25">
      <c r="F695" t="s">
        <v>97</v>
      </c>
      <c r="G695" s="7" cm="1">
        <f t="array" ref="G695">INT(planned(F695))</f>
        <v>138</v>
      </c>
      <c r="H695">
        <f>VLOOKUP(G695,Table4[[#All],[Cost Center]:[Client Type]],2,TRUE)</f>
        <v>6</v>
      </c>
      <c r="I695" t="str">
        <f>VLOOKUP(G695,Table4[[#All],[Cost Center]:[Client Type]],3,TRUE)</f>
        <v>Creek</v>
      </c>
      <c r="J695" t="str">
        <f>VLOOKUP(G695,Table4[[#All],[Cost Center]:[Client Type]],5,TRUE)</f>
        <v>Osama Mezayn</v>
      </c>
    </row>
    <row r="696" spans="6:10" x14ac:dyDescent="0.25">
      <c r="F696" t="s">
        <v>97</v>
      </c>
      <c r="G696" s="7" cm="1">
        <f t="array" ref="G696">INT(planned(F696))</f>
        <v>138</v>
      </c>
      <c r="H696">
        <f>VLOOKUP(G696,Table4[[#All],[Cost Center]:[Client Type]],2,TRUE)</f>
        <v>6</v>
      </c>
      <c r="I696" t="str">
        <f>VLOOKUP(G696,Table4[[#All],[Cost Center]:[Client Type]],3,TRUE)</f>
        <v>Creek</v>
      </c>
      <c r="J696" t="str">
        <f>VLOOKUP(G696,Table4[[#All],[Cost Center]:[Client Type]],5,TRUE)</f>
        <v>Osama Mezayn</v>
      </c>
    </row>
    <row r="697" spans="6:10" x14ac:dyDescent="0.25">
      <c r="F697" t="s">
        <v>97</v>
      </c>
      <c r="G697" s="7" cm="1">
        <f t="array" ref="G697">INT(planned(F697))</f>
        <v>138</v>
      </c>
      <c r="H697">
        <f>VLOOKUP(G697,Table4[[#All],[Cost Center]:[Client Type]],2,TRUE)</f>
        <v>6</v>
      </c>
      <c r="I697" t="str">
        <f>VLOOKUP(G697,Table4[[#All],[Cost Center]:[Client Type]],3,TRUE)</f>
        <v>Creek</v>
      </c>
      <c r="J697" t="str">
        <f>VLOOKUP(G697,Table4[[#All],[Cost Center]:[Client Type]],5,TRUE)</f>
        <v>Osama Mezayn</v>
      </c>
    </row>
    <row r="698" spans="6:10" x14ac:dyDescent="0.25">
      <c r="F698" t="s">
        <v>97</v>
      </c>
      <c r="G698" s="7" cm="1">
        <f t="array" ref="G698">INT(planned(F698))</f>
        <v>138</v>
      </c>
      <c r="H698">
        <f>VLOOKUP(G698,Table4[[#All],[Cost Center]:[Client Type]],2,TRUE)</f>
        <v>6</v>
      </c>
      <c r="I698" t="str">
        <f>VLOOKUP(G698,Table4[[#All],[Cost Center]:[Client Type]],3,TRUE)</f>
        <v>Creek</v>
      </c>
      <c r="J698" t="str">
        <f>VLOOKUP(G698,Table4[[#All],[Cost Center]:[Client Type]],5,TRUE)</f>
        <v>Osama Mezayn</v>
      </c>
    </row>
    <row r="699" spans="6:10" x14ac:dyDescent="0.25">
      <c r="F699" t="s">
        <v>97</v>
      </c>
      <c r="G699" s="7" cm="1">
        <f t="array" ref="G699">INT(planned(F699))</f>
        <v>138</v>
      </c>
      <c r="H699">
        <f>VLOOKUP(G699,Table4[[#All],[Cost Center]:[Client Type]],2,TRUE)</f>
        <v>6</v>
      </c>
      <c r="I699" t="str">
        <f>VLOOKUP(G699,Table4[[#All],[Cost Center]:[Client Type]],3,TRUE)</f>
        <v>Creek</v>
      </c>
      <c r="J699" t="str">
        <f>VLOOKUP(G699,Table4[[#All],[Cost Center]:[Client Type]],5,TRUE)</f>
        <v>Osama Mezayn</v>
      </c>
    </row>
    <row r="700" spans="6:10" x14ac:dyDescent="0.25">
      <c r="F700" t="s">
        <v>97</v>
      </c>
      <c r="G700" s="7" cm="1">
        <f t="array" ref="G700">INT(planned(F700))</f>
        <v>138</v>
      </c>
      <c r="H700">
        <f>VLOOKUP(G700,Table4[[#All],[Cost Center]:[Client Type]],2,TRUE)</f>
        <v>6</v>
      </c>
      <c r="I700" t="str">
        <f>VLOOKUP(G700,Table4[[#All],[Cost Center]:[Client Type]],3,TRUE)</f>
        <v>Creek</v>
      </c>
      <c r="J700" t="str">
        <f>VLOOKUP(G700,Table4[[#All],[Cost Center]:[Client Type]],5,TRUE)</f>
        <v>Osama Mezayn</v>
      </c>
    </row>
    <row r="701" spans="6:10" x14ac:dyDescent="0.25">
      <c r="F701" t="s">
        <v>97</v>
      </c>
      <c r="G701" s="7" cm="1">
        <f t="array" ref="G701">INT(planned(F701))</f>
        <v>138</v>
      </c>
      <c r="H701">
        <f>VLOOKUP(G701,Table4[[#All],[Cost Center]:[Client Type]],2,TRUE)</f>
        <v>6</v>
      </c>
      <c r="I701" t="str">
        <f>VLOOKUP(G701,Table4[[#All],[Cost Center]:[Client Type]],3,TRUE)</f>
        <v>Creek</v>
      </c>
      <c r="J701" t="str">
        <f>VLOOKUP(G701,Table4[[#All],[Cost Center]:[Client Type]],5,TRUE)</f>
        <v>Osama Mezayn</v>
      </c>
    </row>
    <row r="702" spans="6:10" x14ac:dyDescent="0.25">
      <c r="F702" t="s">
        <v>97</v>
      </c>
      <c r="G702" s="7" cm="1">
        <f t="array" ref="G702">INT(planned(F702))</f>
        <v>138</v>
      </c>
      <c r="H702">
        <f>VLOOKUP(G702,Table4[[#All],[Cost Center]:[Client Type]],2,TRUE)</f>
        <v>6</v>
      </c>
      <c r="I702" t="str">
        <f>VLOOKUP(G702,Table4[[#All],[Cost Center]:[Client Type]],3,TRUE)</f>
        <v>Creek</v>
      </c>
      <c r="J702" t="str">
        <f>VLOOKUP(G702,Table4[[#All],[Cost Center]:[Client Type]],5,TRUE)</f>
        <v>Osama Mezayn</v>
      </c>
    </row>
    <row r="703" spans="6:10" x14ac:dyDescent="0.25">
      <c r="F703" t="s">
        <v>97</v>
      </c>
      <c r="G703" s="7" cm="1">
        <f t="array" ref="G703">INT(planned(F703))</f>
        <v>138</v>
      </c>
      <c r="H703">
        <f>VLOOKUP(G703,Table4[[#All],[Cost Center]:[Client Type]],2,TRUE)</f>
        <v>6</v>
      </c>
      <c r="I703" t="str">
        <f>VLOOKUP(G703,Table4[[#All],[Cost Center]:[Client Type]],3,TRUE)</f>
        <v>Creek</v>
      </c>
      <c r="J703" t="str">
        <f>VLOOKUP(G703,Table4[[#All],[Cost Center]:[Client Type]],5,TRUE)</f>
        <v>Osama Mezayn</v>
      </c>
    </row>
    <row r="704" spans="6:10" x14ac:dyDescent="0.25">
      <c r="F704" t="s">
        <v>97</v>
      </c>
      <c r="G704" s="7" cm="1">
        <f t="array" ref="G704">INT(planned(F704))</f>
        <v>138</v>
      </c>
      <c r="H704">
        <f>VLOOKUP(G704,Table4[[#All],[Cost Center]:[Client Type]],2,TRUE)</f>
        <v>6</v>
      </c>
      <c r="I704" t="str">
        <f>VLOOKUP(G704,Table4[[#All],[Cost Center]:[Client Type]],3,TRUE)</f>
        <v>Creek</v>
      </c>
      <c r="J704" t="str">
        <f>VLOOKUP(G704,Table4[[#All],[Cost Center]:[Client Type]],5,TRUE)</f>
        <v>Osama Mezayn</v>
      </c>
    </row>
    <row r="705" spans="6:10" x14ac:dyDescent="0.25">
      <c r="F705" t="s">
        <v>97</v>
      </c>
      <c r="G705" s="7" cm="1">
        <f t="array" ref="G705">INT(planned(F705))</f>
        <v>138</v>
      </c>
      <c r="H705">
        <f>VLOOKUP(G705,Table4[[#All],[Cost Center]:[Client Type]],2,TRUE)</f>
        <v>6</v>
      </c>
      <c r="I705" t="str">
        <f>VLOOKUP(G705,Table4[[#All],[Cost Center]:[Client Type]],3,TRUE)</f>
        <v>Creek</v>
      </c>
      <c r="J705" t="str">
        <f>VLOOKUP(G705,Table4[[#All],[Cost Center]:[Client Type]],5,TRUE)</f>
        <v>Osama Mezayn</v>
      </c>
    </row>
    <row r="706" spans="6:10" x14ac:dyDescent="0.25">
      <c r="F706" t="s">
        <v>97</v>
      </c>
      <c r="G706" s="7" cm="1">
        <f t="array" ref="G706">INT(planned(F706))</f>
        <v>138</v>
      </c>
      <c r="H706">
        <f>VLOOKUP(G706,Table4[[#All],[Cost Center]:[Client Type]],2,TRUE)</f>
        <v>6</v>
      </c>
      <c r="I706" t="str">
        <f>VLOOKUP(G706,Table4[[#All],[Cost Center]:[Client Type]],3,TRUE)</f>
        <v>Creek</v>
      </c>
      <c r="J706" t="str">
        <f>VLOOKUP(G706,Table4[[#All],[Cost Center]:[Client Type]],5,TRUE)</f>
        <v>Osama Mezayn</v>
      </c>
    </row>
    <row r="707" spans="6:10" x14ac:dyDescent="0.25">
      <c r="F707" t="s">
        <v>97</v>
      </c>
      <c r="G707" s="7" cm="1">
        <f t="array" ref="G707">INT(planned(F707))</f>
        <v>138</v>
      </c>
      <c r="H707">
        <f>VLOOKUP(G707,Table4[[#All],[Cost Center]:[Client Type]],2,TRUE)</f>
        <v>6</v>
      </c>
      <c r="I707" t="str">
        <f>VLOOKUP(G707,Table4[[#All],[Cost Center]:[Client Type]],3,TRUE)</f>
        <v>Creek</v>
      </c>
      <c r="J707" t="str">
        <f>VLOOKUP(G707,Table4[[#All],[Cost Center]:[Client Type]],5,TRUE)</f>
        <v>Osama Mezayn</v>
      </c>
    </row>
    <row r="708" spans="6:10" x14ac:dyDescent="0.25">
      <c r="F708" t="s">
        <v>97</v>
      </c>
      <c r="G708" s="7" cm="1">
        <f t="array" ref="G708">INT(planned(F708))</f>
        <v>138</v>
      </c>
      <c r="H708">
        <f>VLOOKUP(G708,Table4[[#All],[Cost Center]:[Client Type]],2,TRUE)</f>
        <v>6</v>
      </c>
      <c r="I708" t="str">
        <f>VLOOKUP(G708,Table4[[#All],[Cost Center]:[Client Type]],3,TRUE)</f>
        <v>Creek</v>
      </c>
      <c r="J708" t="str">
        <f>VLOOKUP(G708,Table4[[#All],[Cost Center]:[Client Type]],5,TRUE)</f>
        <v>Osama Mezayn</v>
      </c>
    </row>
    <row r="709" spans="6:10" x14ac:dyDescent="0.25">
      <c r="F709" t="s">
        <v>97</v>
      </c>
      <c r="G709" s="7" cm="1">
        <f t="array" ref="G709">INT(planned(F709))</f>
        <v>138</v>
      </c>
      <c r="H709">
        <f>VLOOKUP(G709,Table4[[#All],[Cost Center]:[Client Type]],2,TRUE)</f>
        <v>6</v>
      </c>
      <c r="I709" t="str">
        <f>VLOOKUP(G709,Table4[[#All],[Cost Center]:[Client Type]],3,TRUE)</f>
        <v>Creek</v>
      </c>
      <c r="J709" t="str">
        <f>VLOOKUP(G709,Table4[[#All],[Cost Center]:[Client Type]],5,TRUE)</f>
        <v>Osama Mezayn</v>
      </c>
    </row>
    <row r="710" spans="6:10" x14ac:dyDescent="0.25">
      <c r="F710" t="s">
        <v>97</v>
      </c>
      <c r="G710" s="7" cm="1">
        <f t="array" ref="G710">INT(planned(F710))</f>
        <v>138</v>
      </c>
      <c r="H710">
        <f>VLOOKUP(G710,Table4[[#All],[Cost Center]:[Client Type]],2,TRUE)</f>
        <v>6</v>
      </c>
      <c r="I710" t="str">
        <f>VLOOKUP(G710,Table4[[#All],[Cost Center]:[Client Type]],3,TRUE)</f>
        <v>Creek</v>
      </c>
      <c r="J710" t="str">
        <f>VLOOKUP(G710,Table4[[#All],[Cost Center]:[Client Type]],5,TRUE)</f>
        <v>Osama Mezayn</v>
      </c>
    </row>
    <row r="711" spans="6:10" x14ac:dyDescent="0.25">
      <c r="F711" t="s">
        <v>97</v>
      </c>
      <c r="G711" s="7" cm="1">
        <f t="array" ref="G711">INT(planned(F711))</f>
        <v>138</v>
      </c>
      <c r="H711">
        <f>VLOOKUP(G711,Table4[[#All],[Cost Center]:[Client Type]],2,TRUE)</f>
        <v>6</v>
      </c>
      <c r="I711" t="str">
        <f>VLOOKUP(G711,Table4[[#All],[Cost Center]:[Client Type]],3,TRUE)</f>
        <v>Creek</v>
      </c>
      <c r="J711" t="str">
        <f>VLOOKUP(G711,Table4[[#All],[Cost Center]:[Client Type]],5,TRUE)</f>
        <v>Osama Mezayn</v>
      </c>
    </row>
    <row r="712" spans="6:10" x14ac:dyDescent="0.25">
      <c r="F712" t="s">
        <v>97</v>
      </c>
      <c r="G712" s="7" cm="1">
        <f t="array" ref="G712">INT(planned(F712))</f>
        <v>138</v>
      </c>
      <c r="H712">
        <f>VLOOKUP(G712,Table4[[#All],[Cost Center]:[Client Type]],2,TRUE)</f>
        <v>6</v>
      </c>
      <c r="I712" t="str">
        <f>VLOOKUP(G712,Table4[[#All],[Cost Center]:[Client Type]],3,TRUE)</f>
        <v>Creek</v>
      </c>
      <c r="J712" t="str">
        <f>VLOOKUP(G712,Table4[[#All],[Cost Center]:[Client Type]],5,TRUE)</f>
        <v>Osama Mezayn</v>
      </c>
    </row>
    <row r="713" spans="6:10" x14ac:dyDescent="0.25">
      <c r="F713" t="s">
        <v>97</v>
      </c>
      <c r="G713" s="7" cm="1">
        <f t="array" ref="G713">INT(planned(F713))</f>
        <v>138</v>
      </c>
      <c r="H713">
        <f>VLOOKUP(G713,Table4[[#All],[Cost Center]:[Client Type]],2,TRUE)</f>
        <v>6</v>
      </c>
      <c r="I713" t="str">
        <f>VLOOKUP(G713,Table4[[#All],[Cost Center]:[Client Type]],3,TRUE)</f>
        <v>Creek</v>
      </c>
      <c r="J713" t="str">
        <f>VLOOKUP(G713,Table4[[#All],[Cost Center]:[Client Type]],5,TRUE)</f>
        <v>Osama Mezayn</v>
      </c>
    </row>
    <row r="714" spans="6:10" x14ac:dyDescent="0.25">
      <c r="F714" t="s">
        <v>97</v>
      </c>
      <c r="G714" s="7" cm="1">
        <f t="array" ref="G714">INT(planned(F714))</f>
        <v>138</v>
      </c>
      <c r="H714">
        <f>VLOOKUP(G714,Table4[[#All],[Cost Center]:[Client Type]],2,TRUE)</f>
        <v>6</v>
      </c>
      <c r="I714" t="str">
        <f>VLOOKUP(G714,Table4[[#All],[Cost Center]:[Client Type]],3,TRUE)</f>
        <v>Creek</v>
      </c>
      <c r="J714" t="str">
        <f>VLOOKUP(G714,Table4[[#All],[Cost Center]:[Client Type]],5,TRUE)</f>
        <v>Osama Mezayn</v>
      </c>
    </row>
    <row r="715" spans="6:10" x14ac:dyDescent="0.25">
      <c r="F715" t="s">
        <v>97</v>
      </c>
      <c r="G715" s="7" cm="1">
        <f t="array" ref="G715">INT(planned(F715))</f>
        <v>138</v>
      </c>
      <c r="H715">
        <f>VLOOKUP(G715,Table4[[#All],[Cost Center]:[Client Type]],2,TRUE)</f>
        <v>6</v>
      </c>
      <c r="I715" t="str">
        <f>VLOOKUP(G715,Table4[[#All],[Cost Center]:[Client Type]],3,TRUE)</f>
        <v>Creek</v>
      </c>
      <c r="J715" t="str">
        <f>VLOOKUP(G715,Table4[[#All],[Cost Center]:[Client Type]],5,TRUE)</f>
        <v>Osama Mezayn</v>
      </c>
    </row>
    <row r="716" spans="6:10" x14ac:dyDescent="0.25">
      <c r="F716" t="s">
        <v>97</v>
      </c>
      <c r="G716" s="7" cm="1">
        <f t="array" ref="G716">INT(planned(F716))</f>
        <v>138</v>
      </c>
      <c r="H716">
        <f>VLOOKUP(G716,Table4[[#All],[Cost Center]:[Client Type]],2,TRUE)</f>
        <v>6</v>
      </c>
      <c r="I716" t="str">
        <f>VLOOKUP(G716,Table4[[#All],[Cost Center]:[Client Type]],3,TRUE)</f>
        <v>Creek</v>
      </c>
      <c r="J716" t="str">
        <f>VLOOKUP(G716,Table4[[#All],[Cost Center]:[Client Type]],5,TRUE)</f>
        <v>Osama Mezayn</v>
      </c>
    </row>
    <row r="717" spans="6:10" x14ac:dyDescent="0.25">
      <c r="F717" t="s">
        <v>97</v>
      </c>
      <c r="G717" s="7" cm="1">
        <f t="array" ref="G717">INT(planned(F717))</f>
        <v>138</v>
      </c>
      <c r="H717">
        <f>VLOOKUP(G717,Table4[[#All],[Cost Center]:[Client Type]],2,TRUE)</f>
        <v>6</v>
      </c>
      <c r="I717" t="str">
        <f>VLOOKUP(G717,Table4[[#All],[Cost Center]:[Client Type]],3,TRUE)</f>
        <v>Creek</v>
      </c>
      <c r="J717" t="str">
        <f>VLOOKUP(G717,Table4[[#All],[Cost Center]:[Client Type]],5,TRUE)</f>
        <v>Osama Mezayn</v>
      </c>
    </row>
    <row r="718" spans="6:10" x14ac:dyDescent="0.25">
      <c r="F718" t="s">
        <v>97</v>
      </c>
      <c r="G718" s="7" cm="1">
        <f t="array" ref="G718">INT(planned(F718))</f>
        <v>138</v>
      </c>
      <c r="H718">
        <f>VLOOKUP(G718,Table4[[#All],[Cost Center]:[Client Type]],2,TRUE)</f>
        <v>6</v>
      </c>
      <c r="I718" t="str">
        <f>VLOOKUP(G718,Table4[[#All],[Cost Center]:[Client Type]],3,TRUE)</f>
        <v>Creek</v>
      </c>
      <c r="J718" t="str">
        <f>VLOOKUP(G718,Table4[[#All],[Cost Center]:[Client Type]],5,TRUE)</f>
        <v>Osama Mezayn</v>
      </c>
    </row>
    <row r="719" spans="6:10" x14ac:dyDescent="0.25">
      <c r="F719" t="s">
        <v>97</v>
      </c>
      <c r="G719" s="7" cm="1">
        <f t="array" ref="G719">INT(planned(F719))</f>
        <v>138</v>
      </c>
      <c r="H719">
        <f>VLOOKUP(G719,Table4[[#All],[Cost Center]:[Client Type]],2,TRUE)</f>
        <v>6</v>
      </c>
      <c r="I719" t="str">
        <f>VLOOKUP(G719,Table4[[#All],[Cost Center]:[Client Type]],3,TRUE)</f>
        <v>Creek</v>
      </c>
      <c r="J719" t="str">
        <f>VLOOKUP(G719,Table4[[#All],[Cost Center]:[Client Type]],5,TRUE)</f>
        <v>Osama Mezayn</v>
      </c>
    </row>
    <row r="720" spans="6:10" x14ac:dyDescent="0.25">
      <c r="F720" t="s">
        <v>97</v>
      </c>
      <c r="G720" s="7" cm="1">
        <f t="array" ref="G720">INT(planned(F720))</f>
        <v>138</v>
      </c>
      <c r="H720">
        <f>VLOOKUP(G720,Table4[[#All],[Cost Center]:[Client Type]],2,TRUE)</f>
        <v>6</v>
      </c>
      <c r="I720" t="str">
        <f>VLOOKUP(G720,Table4[[#All],[Cost Center]:[Client Type]],3,TRUE)</f>
        <v>Creek</v>
      </c>
      <c r="J720" t="str">
        <f>VLOOKUP(G720,Table4[[#All],[Cost Center]:[Client Type]],5,TRUE)</f>
        <v>Osama Mezayn</v>
      </c>
    </row>
    <row r="721" spans="6:10" x14ac:dyDescent="0.25">
      <c r="F721" t="s">
        <v>97</v>
      </c>
      <c r="G721" s="7" cm="1">
        <f t="array" ref="G721">INT(planned(F721))</f>
        <v>138</v>
      </c>
      <c r="H721">
        <f>VLOOKUP(G721,Table4[[#All],[Cost Center]:[Client Type]],2,TRUE)</f>
        <v>6</v>
      </c>
      <c r="I721" t="str">
        <f>VLOOKUP(G721,Table4[[#All],[Cost Center]:[Client Type]],3,TRUE)</f>
        <v>Creek</v>
      </c>
      <c r="J721" t="str">
        <f>VLOOKUP(G721,Table4[[#All],[Cost Center]:[Client Type]],5,TRUE)</f>
        <v>Osama Mezayn</v>
      </c>
    </row>
    <row r="722" spans="6:10" x14ac:dyDescent="0.25">
      <c r="F722" t="s">
        <v>97</v>
      </c>
      <c r="G722" s="7" cm="1">
        <f t="array" ref="G722">INT(planned(F722))</f>
        <v>138</v>
      </c>
      <c r="H722">
        <f>VLOOKUP(G722,Table4[[#All],[Cost Center]:[Client Type]],2,TRUE)</f>
        <v>6</v>
      </c>
      <c r="I722" t="str">
        <f>VLOOKUP(G722,Table4[[#All],[Cost Center]:[Client Type]],3,TRUE)</f>
        <v>Creek</v>
      </c>
      <c r="J722" t="str">
        <f>VLOOKUP(G722,Table4[[#All],[Cost Center]:[Client Type]],5,TRUE)</f>
        <v>Osama Mezayn</v>
      </c>
    </row>
    <row r="723" spans="6:10" x14ac:dyDescent="0.25">
      <c r="F723" t="s">
        <v>97</v>
      </c>
      <c r="G723" s="7" cm="1">
        <f t="array" ref="G723">INT(planned(F723))</f>
        <v>138</v>
      </c>
      <c r="H723">
        <f>VLOOKUP(G723,Table4[[#All],[Cost Center]:[Client Type]],2,TRUE)</f>
        <v>6</v>
      </c>
      <c r="I723" t="str">
        <f>VLOOKUP(G723,Table4[[#All],[Cost Center]:[Client Type]],3,TRUE)</f>
        <v>Creek</v>
      </c>
      <c r="J723" t="str">
        <f>VLOOKUP(G723,Table4[[#All],[Cost Center]:[Client Type]],5,TRUE)</f>
        <v>Osama Mezayn</v>
      </c>
    </row>
    <row r="724" spans="6:10" x14ac:dyDescent="0.25">
      <c r="F724" t="s">
        <v>97</v>
      </c>
      <c r="G724" s="7" cm="1">
        <f t="array" ref="G724">INT(planned(F724))</f>
        <v>138</v>
      </c>
      <c r="H724">
        <f>VLOOKUP(G724,Table4[[#All],[Cost Center]:[Client Type]],2,TRUE)</f>
        <v>6</v>
      </c>
      <c r="I724" t="str">
        <f>VLOOKUP(G724,Table4[[#All],[Cost Center]:[Client Type]],3,TRUE)</f>
        <v>Creek</v>
      </c>
      <c r="J724" t="str">
        <f>VLOOKUP(G724,Table4[[#All],[Cost Center]:[Client Type]],5,TRUE)</f>
        <v>Osama Mezayn</v>
      </c>
    </row>
    <row r="725" spans="6:10" x14ac:dyDescent="0.25">
      <c r="F725" t="s">
        <v>97</v>
      </c>
      <c r="G725" s="7" cm="1">
        <f t="array" ref="G725">INT(planned(F725))</f>
        <v>138</v>
      </c>
      <c r="H725">
        <f>VLOOKUP(G725,Table4[[#All],[Cost Center]:[Client Type]],2,TRUE)</f>
        <v>6</v>
      </c>
      <c r="I725" t="str">
        <f>VLOOKUP(G725,Table4[[#All],[Cost Center]:[Client Type]],3,TRUE)</f>
        <v>Creek</v>
      </c>
      <c r="J725" t="str">
        <f>VLOOKUP(G725,Table4[[#All],[Cost Center]:[Client Type]],5,TRUE)</f>
        <v>Osama Mezayn</v>
      </c>
    </row>
    <row r="726" spans="6:10" x14ac:dyDescent="0.25">
      <c r="F726" t="s">
        <v>97</v>
      </c>
      <c r="G726" s="7" cm="1">
        <f t="array" ref="G726">INT(planned(F726))</f>
        <v>138</v>
      </c>
      <c r="H726">
        <f>VLOOKUP(G726,Table4[[#All],[Cost Center]:[Client Type]],2,TRUE)</f>
        <v>6</v>
      </c>
      <c r="I726" t="str">
        <f>VLOOKUP(G726,Table4[[#All],[Cost Center]:[Client Type]],3,TRUE)</f>
        <v>Creek</v>
      </c>
      <c r="J726" t="str">
        <f>VLOOKUP(G726,Table4[[#All],[Cost Center]:[Client Type]],5,TRUE)</f>
        <v>Osama Mezayn</v>
      </c>
    </row>
    <row r="727" spans="6:10" x14ac:dyDescent="0.25">
      <c r="F727" t="s">
        <v>97</v>
      </c>
      <c r="G727" s="7" cm="1">
        <f t="array" ref="G727">INT(planned(F727))</f>
        <v>138</v>
      </c>
      <c r="H727">
        <f>VLOOKUP(G727,Table4[[#All],[Cost Center]:[Client Type]],2,TRUE)</f>
        <v>6</v>
      </c>
      <c r="I727" t="str">
        <f>VLOOKUP(G727,Table4[[#All],[Cost Center]:[Client Type]],3,TRUE)</f>
        <v>Creek</v>
      </c>
      <c r="J727" t="str">
        <f>VLOOKUP(G727,Table4[[#All],[Cost Center]:[Client Type]],5,TRUE)</f>
        <v>Osama Mezayn</v>
      </c>
    </row>
    <row r="728" spans="6:10" x14ac:dyDescent="0.25">
      <c r="F728" t="s">
        <v>97</v>
      </c>
      <c r="G728" s="7" cm="1">
        <f t="array" ref="G728">INT(planned(F728))</f>
        <v>138</v>
      </c>
      <c r="H728">
        <f>VLOOKUP(G728,Table4[[#All],[Cost Center]:[Client Type]],2,TRUE)</f>
        <v>6</v>
      </c>
      <c r="I728" t="str">
        <f>VLOOKUP(G728,Table4[[#All],[Cost Center]:[Client Type]],3,TRUE)</f>
        <v>Creek</v>
      </c>
      <c r="J728" t="str">
        <f>VLOOKUP(G728,Table4[[#All],[Cost Center]:[Client Type]],5,TRUE)</f>
        <v>Osama Mezayn</v>
      </c>
    </row>
    <row r="729" spans="6:10" x14ac:dyDescent="0.25">
      <c r="F729" t="s">
        <v>97</v>
      </c>
      <c r="G729" s="7" cm="1">
        <f t="array" ref="G729">INT(planned(F729))</f>
        <v>138</v>
      </c>
      <c r="H729">
        <f>VLOOKUP(G729,Table4[[#All],[Cost Center]:[Client Type]],2,TRUE)</f>
        <v>6</v>
      </c>
      <c r="I729" t="str">
        <f>VLOOKUP(G729,Table4[[#All],[Cost Center]:[Client Type]],3,TRUE)</f>
        <v>Creek</v>
      </c>
      <c r="J729" t="str">
        <f>VLOOKUP(G729,Table4[[#All],[Cost Center]:[Client Type]],5,TRUE)</f>
        <v>Osama Mezayn</v>
      </c>
    </row>
    <row r="730" spans="6:10" x14ac:dyDescent="0.25">
      <c r="F730" t="s">
        <v>97</v>
      </c>
      <c r="G730" s="7" cm="1">
        <f t="array" ref="G730">INT(planned(F730))</f>
        <v>138</v>
      </c>
      <c r="H730">
        <f>VLOOKUP(G730,Table4[[#All],[Cost Center]:[Client Type]],2,TRUE)</f>
        <v>6</v>
      </c>
      <c r="I730" t="str">
        <f>VLOOKUP(G730,Table4[[#All],[Cost Center]:[Client Type]],3,TRUE)</f>
        <v>Creek</v>
      </c>
      <c r="J730" t="str">
        <f>VLOOKUP(G730,Table4[[#All],[Cost Center]:[Client Type]],5,TRUE)</f>
        <v>Osama Mezayn</v>
      </c>
    </row>
    <row r="731" spans="6:10" x14ac:dyDescent="0.25">
      <c r="F731" t="s">
        <v>97</v>
      </c>
      <c r="G731" s="7" cm="1">
        <f t="array" ref="G731">INT(planned(F731))</f>
        <v>138</v>
      </c>
      <c r="H731">
        <f>VLOOKUP(G731,Table4[[#All],[Cost Center]:[Client Type]],2,TRUE)</f>
        <v>6</v>
      </c>
      <c r="I731" t="str">
        <f>VLOOKUP(G731,Table4[[#All],[Cost Center]:[Client Type]],3,TRUE)</f>
        <v>Creek</v>
      </c>
      <c r="J731" t="str">
        <f>VLOOKUP(G731,Table4[[#All],[Cost Center]:[Client Type]],5,TRUE)</f>
        <v>Osama Mezayn</v>
      </c>
    </row>
    <row r="732" spans="6:10" x14ac:dyDescent="0.25">
      <c r="F732" t="s">
        <v>97</v>
      </c>
      <c r="G732" s="7" cm="1">
        <f t="array" ref="G732">INT(planned(F732))</f>
        <v>138</v>
      </c>
      <c r="H732">
        <f>VLOOKUP(G732,Table4[[#All],[Cost Center]:[Client Type]],2,TRUE)</f>
        <v>6</v>
      </c>
      <c r="I732" t="str">
        <f>VLOOKUP(G732,Table4[[#All],[Cost Center]:[Client Type]],3,TRUE)</f>
        <v>Creek</v>
      </c>
      <c r="J732" t="str">
        <f>VLOOKUP(G732,Table4[[#All],[Cost Center]:[Client Type]],5,TRUE)</f>
        <v>Osama Mezayn</v>
      </c>
    </row>
    <row r="733" spans="6:10" x14ac:dyDescent="0.25">
      <c r="F733" t="s">
        <v>97</v>
      </c>
      <c r="G733" s="7" cm="1">
        <f t="array" ref="G733">INT(planned(F733))</f>
        <v>138</v>
      </c>
      <c r="H733">
        <f>VLOOKUP(G733,Table4[[#All],[Cost Center]:[Client Type]],2,TRUE)</f>
        <v>6</v>
      </c>
      <c r="I733" t="str">
        <f>VLOOKUP(G733,Table4[[#All],[Cost Center]:[Client Type]],3,TRUE)</f>
        <v>Creek</v>
      </c>
      <c r="J733" t="str">
        <f>VLOOKUP(G733,Table4[[#All],[Cost Center]:[Client Type]],5,TRUE)</f>
        <v>Osama Mezayn</v>
      </c>
    </row>
    <row r="734" spans="6:10" x14ac:dyDescent="0.25">
      <c r="F734" t="s">
        <v>97</v>
      </c>
      <c r="G734" s="7" cm="1">
        <f t="array" ref="G734">INT(planned(F734))</f>
        <v>138</v>
      </c>
      <c r="H734">
        <f>VLOOKUP(G734,Table4[[#All],[Cost Center]:[Client Type]],2,TRUE)</f>
        <v>6</v>
      </c>
      <c r="I734" t="str">
        <f>VLOOKUP(G734,Table4[[#All],[Cost Center]:[Client Type]],3,TRUE)</f>
        <v>Creek</v>
      </c>
      <c r="J734" t="str">
        <f>VLOOKUP(G734,Table4[[#All],[Cost Center]:[Client Type]],5,TRUE)</f>
        <v>Osama Mezayn</v>
      </c>
    </row>
    <row r="735" spans="6:10" x14ac:dyDescent="0.25">
      <c r="F735" t="s">
        <v>97</v>
      </c>
      <c r="G735" s="7" cm="1">
        <f t="array" ref="G735">INT(planned(F735))</f>
        <v>138</v>
      </c>
      <c r="H735">
        <f>VLOOKUP(G735,Table4[[#All],[Cost Center]:[Client Type]],2,TRUE)</f>
        <v>6</v>
      </c>
      <c r="I735" t="str">
        <f>VLOOKUP(G735,Table4[[#All],[Cost Center]:[Client Type]],3,TRUE)</f>
        <v>Creek</v>
      </c>
      <c r="J735" t="str">
        <f>VLOOKUP(G735,Table4[[#All],[Cost Center]:[Client Type]],5,TRUE)</f>
        <v>Osama Mezayn</v>
      </c>
    </row>
    <row r="736" spans="6:10" x14ac:dyDescent="0.25">
      <c r="F736" t="s">
        <v>97</v>
      </c>
      <c r="G736" s="7" cm="1">
        <f t="array" ref="G736">INT(planned(F736))</f>
        <v>138</v>
      </c>
      <c r="H736">
        <f>VLOOKUP(G736,Table4[[#All],[Cost Center]:[Client Type]],2,TRUE)</f>
        <v>6</v>
      </c>
      <c r="I736" t="str">
        <f>VLOOKUP(G736,Table4[[#All],[Cost Center]:[Client Type]],3,TRUE)</f>
        <v>Creek</v>
      </c>
      <c r="J736" t="str">
        <f>VLOOKUP(G736,Table4[[#All],[Cost Center]:[Client Type]],5,TRUE)</f>
        <v>Osama Mezayn</v>
      </c>
    </row>
    <row r="737" spans="6:10" x14ac:dyDescent="0.25">
      <c r="F737" t="s">
        <v>97</v>
      </c>
      <c r="G737" s="7" cm="1">
        <f t="array" ref="G737">INT(planned(F737))</f>
        <v>138</v>
      </c>
      <c r="H737">
        <f>VLOOKUP(G737,Table4[[#All],[Cost Center]:[Client Type]],2,TRUE)</f>
        <v>6</v>
      </c>
      <c r="I737" t="str">
        <f>VLOOKUP(G737,Table4[[#All],[Cost Center]:[Client Type]],3,TRUE)</f>
        <v>Creek</v>
      </c>
      <c r="J737" t="str">
        <f>VLOOKUP(G737,Table4[[#All],[Cost Center]:[Client Type]],5,TRUE)</f>
        <v>Osama Mezayn</v>
      </c>
    </row>
    <row r="738" spans="6:10" x14ac:dyDescent="0.25">
      <c r="F738" t="s">
        <v>97</v>
      </c>
      <c r="G738" s="7" cm="1">
        <f t="array" ref="G738">INT(planned(F738))</f>
        <v>138</v>
      </c>
      <c r="H738">
        <f>VLOOKUP(G738,Table4[[#All],[Cost Center]:[Client Type]],2,TRUE)</f>
        <v>6</v>
      </c>
      <c r="I738" t="str">
        <f>VLOOKUP(G738,Table4[[#All],[Cost Center]:[Client Type]],3,TRUE)</f>
        <v>Creek</v>
      </c>
      <c r="J738" t="str">
        <f>VLOOKUP(G738,Table4[[#All],[Cost Center]:[Client Type]],5,TRUE)</f>
        <v>Osama Mezayn</v>
      </c>
    </row>
    <row r="739" spans="6:10" x14ac:dyDescent="0.25">
      <c r="F739" t="s">
        <v>97</v>
      </c>
      <c r="G739" s="7" cm="1">
        <f t="array" ref="G739">INT(planned(F739))</f>
        <v>138</v>
      </c>
      <c r="H739">
        <f>VLOOKUP(G739,Table4[[#All],[Cost Center]:[Client Type]],2,TRUE)</f>
        <v>6</v>
      </c>
      <c r="I739" t="str">
        <f>VLOOKUP(G739,Table4[[#All],[Cost Center]:[Client Type]],3,TRUE)</f>
        <v>Creek</v>
      </c>
      <c r="J739" t="str">
        <f>VLOOKUP(G739,Table4[[#All],[Cost Center]:[Client Type]],5,TRUE)</f>
        <v>Osama Mezayn</v>
      </c>
    </row>
    <row r="740" spans="6:10" x14ac:dyDescent="0.25">
      <c r="F740" t="s">
        <v>97</v>
      </c>
      <c r="G740" s="7" cm="1">
        <f t="array" ref="G740">INT(planned(F740))</f>
        <v>138</v>
      </c>
      <c r="H740">
        <f>VLOOKUP(G740,Table4[[#All],[Cost Center]:[Client Type]],2,TRUE)</f>
        <v>6</v>
      </c>
      <c r="I740" t="str">
        <f>VLOOKUP(G740,Table4[[#All],[Cost Center]:[Client Type]],3,TRUE)</f>
        <v>Creek</v>
      </c>
      <c r="J740" t="str">
        <f>VLOOKUP(G740,Table4[[#All],[Cost Center]:[Client Type]],5,TRUE)</f>
        <v>Osama Mezayn</v>
      </c>
    </row>
    <row r="741" spans="6:10" x14ac:dyDescent="0.25">
      <c r="F741" t="s">
        <v>97</v>
      </c>
      <c r="G741" s="7" cm="1">
        <f t="array" ref="G741">INT(planned(F741))</f>
        <v>138</v>
      </c>
      <c r="H741">
        <f>VLOOKUP(G741,Table4[[#All],[Cost Center]:[Client Type]],2,TRUE)</f>
        <v>6</v>
      </c>
      <c r="I741" t="str">
        <f>VLOOKUP(G741,Table4[[#All],[Cost Center]:[Client Type]],3,TRUE)</f>
        <v>Creek</v>
      </c>
      <c r="J741" t="str">
        <f>VLOOKUP(G741,Table4[[#All],[Cost Center]:[Client Type]],5,TRUE)</f>
        <v>Osama Mezayn</v>
      </c>
    </row>
    <row r="742" spans="6:10" x14ac:dyDescent="0.25">
      <c r="F742" t="s">
        <v>97</v>
      </c>
      <c r="G742" s="7" cm="1">
        <f t="array" ref="G742">INT(planned(F742))</f>
        <v>138</v>
      </c>
      <c r="H742">
        <f>VLOOKUP(G742,Table4[[#All],[Cost Center]:[Client Type]],2,TRUE)</f>
        <v>6</v>
      </c>
      <c r="I742" t="str">
        <f>VLOOKUP(G742,Table4[[#All],[Cost Center]:[Client Type]],3,TRUE)</f>
        <v>Creek</v>
      </c>
      <c r="J742" t="str">
        <f>VLOOKUP(G742,Table4[[#All],[Cost Center]:[Client Type]],5,TRUE)</f>
        <v>Osama Mezayn</v>
      </c>
    </row>
    <row r="743" spans="6:10" x14ac:dyDescent="0.25">
      <c r="F743" t="s">
        <v>97</v>
      </c>
      <c r="G743" s="7" cm="1">
        <f t="array" ref="G743">INT(planned(F743))</f>
        <v>138</v>
      </c>
      <c r="H743">
        <f>VLOOKUP(G743,Table4[[#All],[Cost Center]:[Client Type]],2,TRUE)</f>
        <v>6</v>
      </c>
      <c r="I743" t="str">
        <f>VLOOKUP(G743,Table4[[#All],[Cost Center]:[Client Type]],3,TRUE)</f>
        <v>Creek</v>
      </c>
      <c r="J743" t="str">
        <f>VLOOKUP(G743,Table4[[#All],[Cost Center]:[Client Type]],5,TRUE)</f>
        <v>Osama Mezayn</v>
      </c>
    </row>
    <row r="744" spans="6:10" x14ac:dyDescent="0.25">
      <c r="F744" t="s">
        <v>97</v>
      </c>
      <c r="G744" s="7" cm="1">
        <f t="array" ref="G744">INT(planned(F744))</f>
        <v>138</v>
      </c>
      <c r="H744">
        <f>VLOOKUP(G744,Table4[[#All],[Cost Center]:[Client Type]],2,TRUE)</f>
        <v>6</v>
      </c>
      <c r="I744" t="str">
        <f>VLOOKUP(G744,Table4[[#All],[Cost Center]:[Client Type]],3,TRUE)</f>
        <v>Creek</v>
      </c>
      <c r="J744" t="str">
        <f>VLOOKUP(G744,Table4[[#All],[Cost Center]:[Client Type]],5,TRUE)</f>
        <v>Osama Mezayn</v>
      </c>
    </row>
    <row r="745" spans="6:10" x14ac:dyDescent="0.25">
      <c r="F745" t="s">
        <v>97</v>
      </c>
      <c r="G745" s="7" cm="1">
        <f t="array" ref="G745">INT(planned(F745))</f>
        <v>138</v>
      </c>
      <c r="H745">
        <f>VLOOKUP(G745,Table4[[#All],[Cost Center]:[Client Type]],2,TRUE)</f>
        <v>6</v>
      </c>
      <c r="I745" t="str">
        <f>VLOOKUP(G745,Table4[[#All],[Cost Center]:[Client Type]],3,TRUE)</f>
        <v>Creek</v>
      </c>
      <c r="J745" t="str">
        <f>VLOOKUP(G745,Table4[[#All],[Cost Center]:[Client Type]],5,TRUE)</f>
        <v>Osama Mezayn</v>
      </c>
    </row>
    <row r="746" spans="6:10" x14ac:dyDescent="0.25">
      <c r="F746" t="s">
        <v>97</v>
      </c>
      <c r="G746" s="7" cm="1">
        <f t="array" ref="G746">INT(planned(F746))</f>
        <v>138</v>
      </c>
      <c r="H746">
        <f>VLOOKUP(G746,Table4[[#All],[Cost Center]:[Client Type]],2,TRUE)</f>
        <v>6</v>
      </c>
      <c r="I746" t="str">
        <f>VLOOKUP(G746,Table4[[#All],[Cost Center]:[Client Type]],3,TRUE)</f>
        <v>Creek</v>
      </c>
      <c r="J746" t="str">
        <f>VLOOKUP(G746,Table4[[#All],[Cost Center]:[Client Type]],5,TRUE)</f>
        <v>Osama Mezayn</v>
      </c>
    </row>
    <row r="747" spans="6:10" x14ac:dyDescent="0.25">
      <c r="F747" t="s">
        <v>97</v>
      </c>
      <c r="G747" s="7" cm="1">
        <f t="array" ref="G747">INT(planned(F747))</f>
        <v>138</v>
      </c>
      <c r="H747">
        <f>VLOOKUP(G747,Table4[[#All],[Cost Center]:[Client Type]],2,TRUE)</f>
        <v>6</v>
      </c>
      <c r="I747" t="str">
        <f>VLOOKUP(G747,Table4[[#All],[Cost Center]:[Client Type]],3,TRUE)</f>
        <v>Creek</v>
      </c>
      <c r="J747" t="str">
        <f>VLOOKUP(G747,Table4[[#All],[Cost Center]:[Client Type]],5,TRUE)</f>
        <v>Osama Mezayn</v>
      </c>
    </row>
    <row r="748" spans="6:10" x14ac:dyDescent="0.25">
      <c r="F748" t="s">
        <v>97</v>
      </c>
      <c r="G748" s="7" cm="1">
        <f t="array" ref="G748">INT(planned(F748))</f>
        <v>138</v>
      </c>
      <c r="H748">
        <f>VLOOKUP(G748,Table4[[#All],[Cost Center]:[Client Type]],2,TRUE)</f>
        <v>6</v>
      </c>
      <c r="I748" t="str">
        <f>VLOOKUP(G748,Table4[[#All],[Cost Center]:[Client Type]],3,TRUE)</f>
        <v>Creek</v>
      </c>
      <c r="J748" t="str">
        <f>VLOOKUP(G748,Table4[[#All],[Cost Center]:[Client Type]],5,TRUE)</f>
        <v>Osama Mezayn</v>
      </c>
    </row>
    <row r="749" spans="6:10" x14ac:dyDescent="0.25">
      <c r="F749" t="s">
        <v>97</v>
      </c>
      <c r="G749" s="7" cm="1">
        <f t="array" ref="G749">INT(planned(F749))</f>
        <v>138</v>
      </c>
      <c r="H749">
        <f>VLOOKUP(G749,Table4[[#All],[Cost Center]:[Client Type]],2,TRUE)</f>
        <v>6</v>
      </c>
      <c r="I749" t="str">
        <f>VLOOKUP(G749,Table4[[#All],[Cost Center]:[Client Type]],3,TRUE)</f>
        <v>Creek</v>
      </c>
      <c r="J749" t="str">
        <f>VLOOKUP(G749,Table4[[#All],[Cost Center]:[Client Type]],5,TRUE)</f>
        <v>Osama Mezayn</v>
      </c>
    </row>
    <row r="750" spans="6:10" x14ac:dyDescent="0.25">
      <c r="F750" t="s">
        <v>97</v>
      </c>
      <c r="G750" s="7" cm="1">
        <f t="array" ref="G750">INT(planned(F750))</f>
        <v>138</v>
      </c>
      <c r="H750">
        <f>VLOOKUP(G750,Table4[[#All],[Cost Center]:[Client Type]],2,TRUE)</f>
        <v>6</v>
      </c>
      <c r="I750" t="str">
        <f>VLOOKUP(G750,Table4[[#All],[Cost Center]:[Client Type]],3,TRUE)</f>
        <v>Creek</v>
      </c>
      <c r="J750" t="str">
        <f>VLOOKUP(G750,Table4[[#All],[Cost Center]:[Client Type]],5,TRUE)</f>
        <v>Osama Mezayn</v>
      </c>
    </row>
    <row r="751" spans="6:10" x14ac:dyDescent="0.25">
      <c r="F751" t="s">
        <v>97</v>
      </c>
      <c r="G751" s="7" cm="1">
        <f t="array" ref="G751">INT(planned(F751))</f>
        <v>138</v>
      </c>
      <c r="H751">
        <f>VLOOKUP(G751,Table4[[#All],[Cost Center]:[Client Type]],2,TRUE)</f>
        <v>6</v>
      </c>
      <c r="I751" t="str">
        <f>VLOOKUP(G751,Table4[[#All],[Cost Center]:[Client Type]],3,TRUE)</f>
        <v>Creek</v>
      </c>
      <c r="J751" t="str">
        <f>VLOOKUP(G751,Table4[[#All],[Cost Center]:[Client Type]],5,TRUE)</f>
        <v>Osama Mezayn</v>
      </c>
    </row>
    <row r="752" spans="6:10" x14ac:dyDescent="0.25">
      <c r="F752" t="s">
        <v>97</v>
      </c>
      <c r="G752" s="7" cm="1">
        <f t="array" ref="G752">INT(planned(F752))</f>
        <v>138</v>
      </c>
      <c r="H752">
        <f>VLOOKUP(G752,Table4[[#All],[Cost Center]:[Client Type]],2,TRUE)</f>
        <v>6</v>
      </c>
      <c r="I752" t="str">
        <f>VLOOKUP(G752,Table4[[#All],[Cost Center]:[Client Type]],3,TRUE)</f>
        <v>Creek</v>
      </c>
      <c r="J752" t="str">
        <f>VLOOKUP(G752,Table4[[#All],[Cost Center]:[Client Type]],5,TRUE)</f>
        <v>Osama Mezayn</v>
      </c>
    </row>
    <row r="753" spans="6:10" x14ac:dyDescent="0.25">
      <c r="F753" t="s">
        <v>97</v>
      </c>
      <c r="G753" s="7" cm="1">
        <f t="array" ref="G753">INT(planned(F753))</f>
        <v>138</v>
      </c>
      <c r="H753">
        <f>VLOOKUP(G753,Table4[[#All],[Cost Center]:[Client Type]],2,TRUE)</f>
        <v>6</v>
      </c>
      <c r="I753" t="str">
        <f>VLOOKUP(G753,Table4[[#All],[Cost Center]:[Client Type]],3,TRUE)</f>
        <v>Creek</v>
      </c>
      <c r="J753" t="str">
        <f>VLOOKUP(G753,Table4[[#All],[Cost Center]:[Client Type]],5,TRUE)</f>
        <v>Osama Mezayn</v>
      </c>
    </row>
    <row r="754" spans="6:10" x14ac:dyDescent="0.25">
      <c r="F754" t="s">
        <v>97</v>
      </c>
      <c r="G754" s="7" cm="1">
        <f t="array" ref="G754">INT(planned(F754))</f>
        <v>138</v>
      </c>
      <c r="H754">
        <f>VLOOKUP(G754,Table4[[#All],[Cost Center]:[Client Type]],2,TRUE)</f>
        <v>6</v>
      </c>
      <c r="I754" t="str">
        <f>VLOOKUP(G754,Table4[[#All],[Cost Center]:[Client Type]],3,TRUE)</f>
        <v>Creek</v>
      </c>
      <c r="J754" t="str">
        <f>VLOOKUP(G754,Table4[[#All],[Cost Center]:[Client Type]],5,TRUE)</f>
        <v>Osama Mezayn</v>
      </c>
    </row>
    <row r="755" spans="6:10" x14ac:dyDescent="0.25">
      <c r="F755" t="s">
        <v>97</v>
      </c>
      <c r="G755" s="7" cm="1">
        <f t="array" ref="G755">INT(planned(F755))</f>
        <v>138</v>
      </c>
      <c r="H755">
        <f>VLOOKUP(G755,Table4[[#All],[Cost Center]:[Client Type]],2,TRUE)</f>
        <v>6</v>
      </c>
      <c r="I755" t="str">
        <f>VLOOKUP(G755,Table4[[#All],[Cost Center]:[Client Type]],3,TRUE)</f>
        <v>Creek</v>
      </c>
      <c r="J755" t="str">
        <f>VLOOKUP(G755,Table4[[#All],[Cost Center]:[Client Type]],5,TRUE)</f>
        <v>Osama Mezayn</v>
      </c>
    </row>
    <row r="756" spans="6:10" x14ac:dyDescent="0.25">
      <c r="F756" t="s">
        <v>97</v>
      </c>
      <c r="G756" s="7" cm="1">
        <f t="array" ref="G756">INT(planned(F756))</f>
        <v>138</v>
      </c>
      <c r="H756">
        <f>VLOOKUP(G756,Table4[[#All],[Cost Center]:[Client Type]],2,TRUE)</f>
        <v>6</v>
      </c>
      <c r="I756" t="str">
        <f>VLOOKUP(G756,Table4[[#All],[Cost Center]:[Client Type]],3,TRUE)</f>
        <v>Creek</v>
      </c>
      <c r="J756" t="str">
        <f>VLOOKUP(G756,Table4[[#All],[Cost Center]:[Client Type]],5,TRUE)</f>
        <v>Osama Mezayn</v>
      </c>
    </row>
    <row r="757" spans="6:10" x14ac:dyDescent="0.25">
      <c r="F757" t="s">
        <v>97</v>
      </c>
      <c r="G757" s="7" cm="1">
        <f t="array" ref="G757">INT(planned(F757))</f>
        <v>138</v>
      </c>
      <c r="H757">
        <f>VLOOKUP(G757,Table4[[#All],[Cost Center]:[Client Type]],2,TRUE)</f>
        <v>6</v>
      </c>
      <c r="I757" t="str">
        <f>VLOOKUP(G757,Table4[[#All],[Cost Center]:[Client Type]],3,TRUE)</f>
        <v>Creek</v>
      </c>
      <c r="J757" t="str">
        <f>VLOOKUP(G757,Table4[[#All],[Cost Center]:[Client Type]],5,TRUE)</f>
        <v>Osama Mezayn</v>
      </c>
    </row>
    <row r="758" spans="6:10" x14ac:dyDescent="0.25">
      <c r="F758" t="s">
        <v>97</v>
      </c>
      <c r="G758" s="7" cm="1">
        <f t="array" ref="G758">INT(planned(F758))</f>
        <v>138</v>
      </c>
      <c r="H758">
        <f>VLOOKUP(G758,Table4[[#All],[Cost Center]:[Client Type]],2,TRUE)</f>
        <v>6</v>
      </c>
      <c r="I758" t="str">
        <f>VLOOKUP(G758,Table4[[#All],[Cost Center]:[Client Type]],3,TRUE)</f>
        <v>Creek</v>
      </c>
      <c r="J758" t="str">
        <f>VLOOKUP(G758,Table4[[#All],[Cost Center]:[Client Type]],5,TRUE)</f>
        <v>Osama Mezayn</v>
      </c>
    </row>
    <row r="759" spans="6:10" x14ac:dyDescent="0.25">
      <c r="F759" t="s">
        <v>97</v>
      </c>
      <c r="G759" s="7" cm="1">
        <f t="array" ref="G759">INT(planned(F759))</f>
        <v>138</v>
      </c>
      <c r="H759">
        <f>VLOOKUP(G759,Table4[[#All],[Cost Center]:[Client Type]],2,TRUE)</f>
        <v>6</v>
      </c>
      <c r="I759" t="str">
        <f>VLOOKUP(G759,Table4[[#All],[Cost Center]:[Client Type]],3,TRUE)</f>
        <v>Creek</v>
      </c>
      <c r="J759" t="str">
        <f>VLOOKUP(G759,Table4[[#All],[Cost Center]:[Client Type]],5,TRUE)</f>
        <v>Osama Mezayn</v>
      </c>
    </row>
    <row r="760" spans="6:10" x14ac:dyDescent="0.25">
      <c r="F760" t="s">
        <v>97</v>
      </c>
      <c r="G760" s="7" cm="1">
        <f t="array" ref="G760">INT(planned(F760))</f>
        <v>138</v>
      </c>
      <c r="H760">
        <f>VLOOKUP(G760,Table4[[#All],[Cost Center]:[Client Type]],2,TRUE)</f>
        <v>6</v>
      </c>
      <c r="I760" t="str">
        <f>VLOOKUP(G760,Table4[[#All],[Cost Center]:[Client Type]],3,TRUE)</f>
        <v>Creek</v>
      </c>
      <c r="J760" t="str">
        <f>VLOOKUP(G760,Table4[[#All],[Cost Center]:[Client Type]],5,TRUE)</f>
        <v>Osama Mezayn</v>
      </c>
    </row>
    <row r="761" spans="6:10" x14ac:dyDescent="0.25">
      <c r="F761" t="s">
        <v>97</v>
      </c>
      <c r="G761" s="7" cm="1">
        <f t="array" ref="G761">INT(planned(F761))</f>
        <v>138</v>
      </c>
      <c r="H761">
        <f>VLOOKUP(G761,Table4[[#All],[Cost Center]:[Client Type]],2,TRUE)</f>
        <v>6</v>
      </c>
      <c r="I761" t="str">
        <f>VLOOKUP(G761,Table4[[#All],[Cost Center]:[Client Type]],3,TRUE)</f>
        <v>Creek</v>
      </c>
      <c r="J761" t="str">
        <f>VLOOKUP(G761,Table4[[#All],[Cost Center]:[Client Type]],5,TRUE)</f>
        <v>Osama Mezayn</v>
      </c>
    </row>
    <row r="762" spans="6:10" x14ac:dyDescent="0.25">
      <c r="F762" t="s">
        <v>97</v>
      </c>
      <c r="G762" s="7" cm="1">
        <f t="array" ref="G762">INT(planned(F762))</f>
        <v>138</v>
      </c>
      <c r="H762">
        <f>VLOOKUP(G762,Table4[[#All],[Cost Center]:[Client Type]],2,TRUE)</f>
        <v>6</v>
      </c>
      <c r="I762" t="str">
        <f>VLOOKUP(G762,Table4[[#All],[Cost Center]:[Client Type]],3,TRUE)</f>
        <v>Creek</v>
      </c>
      <c r="J762" t="str">
        <f>VLOOKUP(G762,Table4[[#All],[Cost Center]:[Client Type]],5,TRUE)</f>
        <v>Osama Mezayn</v>
      </c>
    </row>
    <row r="763" spans="6:10" x14ac:dyDescent="0.25">
      <c r="F763" t="s">
        <v>97</v>
      </c>
      <c r="G763" s="7" cm="1">
        <f t="array" ref="G763">INT(planned(F763))</f>
        <v>138</v>
      </c>
      <c r="H763">
        <f>VLOOKUP(G763,Table4[[#All],[Cost Center]:[Client Type]],2,TRUE)</f>
        <v>6</v>
      </c>
      <c r="I763" t="str">
        <f>VLOOKUP(G763,Table4[[#All],[Cost Center]:[Client Type]],3,TRUE)</f>
        <v>Creek</v>
      </c>
      <c r="J763" t="str">
        <f>VLOOKUP(G763,Table4[[#All],[Cost Center]:[Client Type]],5,TRUE)</f>
        <v>Osama Mezayn</v>
      </c>
    </row>
    <row r="764" spans="6:10" x14ac:dyDescent="0.25">
      <c r="F764" t="s">
        <v>97</v>
      </c>
      <c r="G764" s="7" cm="1">
        <f t="array" ref="G764">INT(planned(F764))</f>
        <v>138</v>
      </c>
      <c r="H764">
        <f>VLOOKUP(G764,Table4[[#All],[Cost Center]:[Client Type]],2,TRUE)</f>
        <v>6</v>
      </c>
      <c r="I764" t="str">
        <f>VLOOKUP(G764,Table4[[#All],[Cost Center]:[Client Type]],3,TRUE)</f>
        <v>Creek</v>
      </c>
      <c r="J764" t="str">
        <f>VLOOKUP(G764,Table4[[#All],[Cost Center]:[Client Type]],5,TRUE)</f>
        <v>Osama Mezayn</v>
      </c>
    </row>
    <row r="765" spans="6:10" x14ac:dyDescent="0.25">
      <c r="F765" t="s">
        <v>97</v>
      </c>
      <c r="G765" s="7" cm="1">
        <f t="array" ref="G765">INT(planned(F765))</f>
        <v>138</v>
      </c>
      <c r="H765">
        <f>VLOOKUP(G765,Table4[[#All],[Cost Center]:[Client Type]],2,TRUE)</f>
        <v>6</v>
      </c>
      <c r="I765" t="str">
        <f>VLOOKUP(G765,Table4[[#All],[Cost Center]:[Client Type]],3,TRUE)</f>
        <v>Creek</v>
      </c>
      <c r="J765" t="str">
        <f>VLOOKUP(G765,Table4[[#All],[Cost Center]:[Client Type]],5,TRUE)</f>
        <v>Osama Mezayn</v>
      </c>
    </row>
    <row r="766" spans="6:10" x14ac:dyDescent="0.25">
      <c r="F766" t="s">
        <v>97</v>
      </c>
      <c r="G766" s="7" cm="1">
        <f t="array" ref="G766">INT(planned(F766))</f>
        <v>138</v>
      </c>
      <c r="H766">
        <f>VLOOKUP(G766,Table4[[#All],[Cost Center]:[Client Type]],2,TRUE)</f>
        <v>6</v>
      </c>
      <c r="I766" t="str">
        <f>VLOOKUP(G766,Table4[[#All],[Cost Center]:[Client Type]],3,TRUE)</f>
        <v>Creek</v>
      </c>
      <c r="J766" t="str">
        <f>VLOOKUP(G766,Table4[[#All],[Cost Center]:[Client Type]],5,TRUE)</f>
        <v>Osama Mezayn</v>
      </c>
    </row>
    <row r="767" spans="6:10" x14ac:dyDescent="0.25">
      <c r="F767" t="s">
        <v>97</v>
      </c>
      <c r="G767" s="7" cm="1">
        <f t="array" ref="G767">INT(planned(F767))</f>
        <v>138</v>
      </c>
      <c r="H767">
        <f>VLOOKUP(G767,Table4[[#All],[Cost Center]:[Client Type]],2,TRUE)</f>
        <v>6</v>
      </c>
      <c r="I767" t="str">
        <f>VLOOKUP(G767,Table4[[#All],[Cost Center]:[Client Type]],3,TRUE)</f>
        <v>Creek</v>
      </c>
      <c r="J767" t="str">
        <f>VLOOKUP(G767,Table4[[#All],[Cost Center]:[Client Type]],5,TRUE)</f>
        <v>Osama Mezayn</v>
      </c>
    </row>
    <row r="768" spans="6:10" x14ac:dyDescent="0.25">
      <c r="F768" t="s">
        <v>97</v>
      </c>
      <c r="G768" s="7" cm="1">
        <f t="array" ref="G768">INT(planned(F768))</f>
        <v>138</v>
      </c>
      <c r="H768">
        <f>VLOOKUP(G768,Table4[[#All],[Cost Center]:[Client Type]],2,TRUE)</f>
        <v>6</v>
      </c>
      <c r="I768" t="str">
        <f>VLOOKUP(G768,Table4[[#All],[Cost Center]:[Client Type]],3,TRUE)</f>
        <v>Creek</v>
      </c>
      <c r="J768" t="str">
        <f>VLOOKUP(G768,Table4[[#All],[Cost Center]:[Client Type]],5,TRUE)</f>
        <v>Osama Mezayn</v>
      </c>
    </row>
    <row r="769" spans="6:10" x14ac:dyDescent="0.25">
      <c r="F769" t="s">
        <v>97</v>
      </c>
      <c r="G769" s="7" cm="1">
        <f t="array" ref="G769">INT(planned(F769))</f>
        <v>138</v>
      </c>
      <c r="H769">
        <f>VLOOKUP(G769,Table4[[#All],[Cost Center]:[Client Type]],2,TRUE)</f>
        <v>6</v>
      </c>
      <c r="I769" t="str">
        <f>VLOOKUP(G769,Table4[[#All],[Cost Center]:[Client Type]],3,TRUE)</f>
        <v>Creek</v>
      </c>
      <c r="J769" t="str">
        <f>VLOOKUP(G769,Table4[[#All],[Cost Center]:[Client Type]],5,TRUE)</f>
        <v>Osama Mezayn</v>
      </c>
    </row>
    <row r="770" spans="6:10" x14ac:dyDescent="0.25">
      <c r="F770" t="s">
        <v>97</v>
      </c>
      <c r="G770" s="7" cm="1">
        <f t="array" ref="G770">INT(planned(F770))</f>
        <v>138</v>
      </c>
      <c r="H770">
        <f>VLOOKUP(G770,Table4[[#All],[Cost Center]:[Client Type]],2,TRUE)</f>
        <v>6</v>
      </c>
      <c r="I770" t="str">
        <f>VLOOKUP(G770,Table4[[#All],[Cost Center]:[Client Type]],3,TRUE)</f>
        <v>Creek</v>
      </c>
      <c r="J770" t="str">
        <f>VLOOKUP(G770,Table4[[#All],[Cost Center]:[Client Type]],5,TRUE)</f>
        <v>Osama Mezayn</v>
      </c>
    </row>
    <row r="771" spans="6:10" x14ac:dyDescent="0.25">
      <c r="F771" t="s">
        <v>97</v>
      </c>
      <c r="G771" s="7" cm="1">
        <f t="array" ref="G771">INT(planned(F771))</f>
        <v>138</v>
      </c>
      <c r="H771">
        <f>VLOOKUP(G771,Table4[[#All],[Cost Center]:[Client Type]],2,TRUE)</f>
        <v>6</v>
      </c>
      <c r="I771" t="str">
        <f>VLOOKUP(G771,Table4[[#All],[Cost Center]:[Client Type]],3,TRUE)</f>
        <v>Creek</v>
      </c>
      <c r="J771" t="str">
        <f>VLOOKUP(G771,Table4[[#All],[Cost Center]:[Client Type]],5,TRUE)</f>
        <v>Osama Mezayn</v>
      </c>
    </row>
    <row r="772" spans="6:10" x14ac:dyDescent="0.25">
      <c r="F772" t="s">
        <v>97</v>
      </c>
      <c r="G772" s="7" cm="1">
        <f t="array" ref="G772">INT(planned(F772))</f>
        <v>138</v>
      </c>
      <c r="H772">
        <f>VLOOKUP(G772,Table4[[#All],[Cost Center]:[Client Type]],2,TRUE)</f>
        <v>6</v>
      </c>
      <c r="I772" t="str">
        <f>VLOOKUP(G772,Table4[[#All],[Cost Center]:[Client Type]],3,TRUE)</f>
        <v>Creek</v>
      </c>
      <c r="J772" t="str">
        <f>VLOOKUP(G772,Table4[[#All],[Cost Center]:[Client Type]],5,TRUE)</f>
        <v>Osama Mezayn</v>
      </c>
    </row>
    <row r="773" spans="6:10" x14ac:dyDescent="0.25">
      <c r="F773" t="s">
        <v>97</v>
      </c>
      <c r="G773" s="7" cm="1">
        <f t="array" ref="G773">INT(planned(F773))</f>
        <v>138</v>
      </c>
      <c r="H773">
        <f>VLOOKUP(G773,Table4[[#All],[Cost Center]:[Client Type]],2,TRUE)</f>
        <v>6</v>
      </c>
      <c r="I773" t="str">
        <f>VLOOKUP(G773,Table4[[#All],[Cost Center]:[Client Type]],3,TRUE)</f>
        <v>Creek</v>
      </c>
      <c r="J773" t="str">
        <f>VLOOKUP(G773,Table4[[#All],[Cost Center]:[Client Type]],5,TRUE)</f>
        <v>Osama Mezayn</v>
      </c>
    </row>
    <row r="774" spans="6:10" x14ac:dyDescent="0.25">
      <c r="F774" t="s">
        <v>97</v>
      </c>
      <c r="G774" s="7" cm="1">
        <f t="array" ref="G774">INT(planned(F774))</f>
        <v>138</v>
      </c>
      <c r="H774">
        <f>VLOOKUP(G774,Table4[[#All],[Cost Center]:[Client Type]],2,TRUE)</f>
        <v>6</v>
      </c>
      <c r="I774" t="str">
        <f>VLOOKUP(G774,Table4[[#All],[Cost Center]:[Client Type]],3,TRUE)</f>
        <v>Creek</v>
      </c>
      <c r="J774" t="str">
        <f>VLOOKUP(G774,Table4[[#All],[Cost Center]:[Client Type]],5,TRUE)</f>
        <v>Osama Mezayn</v>
      </c>
    </row>
    <row r="775" spans="6:10" x14ac:dyDescent="0.25">
      <c r="F775" t="s">
        <v>97</v>
      </c>
      <c r="G775" s="7" cm="1">
        <f t="array" ref="G775">INT(planned(F775))</f>
        <v>138</v>
      </c>
      <c r="H775">
        <f>VLOOKUP(G775,Table4[[#All],[Cost Center]:[Client Type]],2,TRUE)</f>
        <v>6</v>
      </c>
      <c r="I775" t="str">
        <f>VLOOKUP(G775,Table4[[#All],[Cost Center]:[Client Type]],3,TRUE)</f>
        <v>Creek</v>
      </c>
      <c r="J775" t="str">
        <f>VLOOKUP(G775,Table4[[#All],[Cost Center]:[Client Type]],5,TRUE)</f>
        <v>Osama Mezayn</v>
      </c>
    </row>
    <row r="776" spans="6:10" x14ac:dyDescent="0.25">
      <c r="F776" t="s">
        <v>97</v>
      </c>
      <c r="G776" s="7" cm="1">
        <f t="array" ref="G776">INT(planned(F776))</f>
        <v>138</v>
      </c>
      <c r="H776">
        <f>VLOOKUP(G776,Table4[[#All],[Cost Center]:[Client Type]],2,TRUE)</f>
        <v>6</v>
      </c>
      <c r="I776" t="str">
        <f>VLOOKUP(G776,Table4[[#All],[Cost Center]:[Client Type]],3,TRUE)</f>
        <v>Creek</v>
      </c>
      <c r="J776" t="str">
        <f>VLOOKUP(G776,Table4[[#All],[Cost Center]:[Client Type]],5,TRUE)</f>
        <v>Osama Mezayn</v>
      </c>
    </row>
    <row r="777" spans="6:10" x14ac:dyDescent="0.25">
      <c r="F777" t="s">
        <v>97</v>
      </c>
      <c r="G777" s="7" cm="1">
        <f t="array" ref="G777">INT(planned(F777))</f>
        <v>138</v>
      </c>
      <c r="H777">
        <f>VLOOKUP(G777,Table4[[#All],[Cost Center]:[Client Type]],2,TRUE)</f>
        <v>6</v>
      </c>
      <c r="I777" t="str">
        <f>VLOOKUP(G777,Table4[[#All],[Cost Center]:[Client Type]],3,TRUE)</f>
        <v>Creek</v>
      </c>
      <c r="J777" t="str">
        <f>VLOOKUP(G777,Table4[[#All],[Cost Center]:[Client Type]],5,TRUE)</f>
        <v>Osama Mezayn</v>
      </c>
    </row>
    <row r="778" spans="6:10" x14ac:dyDescent="0.25">
      <c r="F778" t="s">
        <v>97</v>
      </c>
      <c r="G778" s="7" cm="1">
        <f t="array" ref="G778">INT(planned(F778))</f>
        <v>138</v>
      </c>
      <c r="H778">
        <f>VLOOKUP(G778,Table4[[#All],[Cost Center]:[Client Type]],2,TRUE)</f>
        <v>6</v>
      </c>
      <c r="I778" t="str">
        <f>VLOOKUP(G778,Table4[[#All],[Cost Center]:[Client Type]],3,TRUE)</f>
        <v>Creek</v>
      </c>
      <c r="J778" t="str">
        <f>VLOOKUP(G778,Table4[[#All],[Cost Center]:[Client Type]],5,TRUE)</f>
        <v>Osama Mezayn</v>
      </c>
    </row>
    <row r="779" spans="6:10" x14ac:dyDescent="0.25">
      <c r="F779" t="s">
        <v>97</v>
      </c>
      <c r="G779" s="7" cm="1">
        <f t="array" ref="G779">INT(planned(F779))</f>
        <v>138</v>
      </c>
      <c r="H779">
        <f>VLOOKUP(G779,Table4[[#All],[Cost Center]:[Client Type]],2,TRUE)</f>
        <v>6</v>
      </c>
      <c r="I779" t="str">
        <f>VLOOKUP(G779,Table4[[#All],[Cost Center]:[Client Type]],3,TRUE)</f>
        <v>Creek</v>
      </c>
      <c r="J779" t="str">
        <f>VLOOKUP(G779,Table4[[#All],[Cost Center]:[Client Type]],5,TRUE)</f>
        <v>Osama Mezayn</v>
      </c>
    </row>
    <row r="780" spans="6:10" x14ac:dyDescent="0.25">
      <c r="F780" t="s">
        <v>97</v>
      </c>
      <c r="G780" s="7" cm="1">
        <f t="array" ref="G780">INT(planned(F780))</f>
        <v>138</v>
      </c>
      <c r="H780">
        <f>VLOOKUP(G780,Table4[[#All],[Cost Center]:[Client Type]],2,TRUE)</f>
        <v>6</v>
      </c>
      <c r="I780" t="str">
        <f>VLOOKUP(G780,Table4[[#All],[Cost Center]:[Client Type]],3,TRUE)</f>
        <v>Creek</v>
      </c>
      <c r="J780" t="str">
        <f>VLOOKUP(G780,Table4[[#All],[Cost Center]:[Client Type]],5,TRUE)</f>
        <v>Osama Mezayn</v>
      </c>
    </row>
    <row r="781" spans="6:10" x14ac:dyDescent="0.25">
      <c r="F781" t="s">
        <v>97</v>
      </c>
      <c r="G781" s="7" cm="1">
        <f t="array" ref="G781">INT(planned(F781))</f>
        <v>138</v>
      </c>
      <c r="H781">
        <f>VLOOKUP(G781,Table4[[#All],[Cost Center]:[Client Type]],2,TRUE)</f>
        <v>6</v>
      </c>
      <c r="I781" t="str">
        <f>VLOOKUP(G781,Table4[[#All],[Cost Center]:[Client Type]],3,TRUE)</f>
        <v>Creek</v>
      </c>
      <c r="J781" t="str">
        <f>VLOOKUP(G781,Table4[[#All],[Cost Center]:[Client Type]],5,TRUE)</f>
        <v>Osama Mezayn</v>
      </c>
    </row>
    <row r="782" spans="6:10" x14ac:dyDescent="0.25">
      <c r="F782" t="s">
        <v>97</v>
      </c>
      <c r="G782" s="7" cm="1">
        <f t="array" ref="G782">INT(planned(F782))</f>
        <v>138</v>
      </c>
      <c r="H782">
        <f>VLOOKUP(G782,Table4[[#All],[Cost Center]:[Client Type]],2,TRUE)</f>
        <v>6</v>
      </c>
      <c r="I782" t="str">
        <f>VLOOKUP(G782,Table4[[#All],[Cost Center]:[Client Type]],3,TRUE)</f>
        <v>Creek</v>
      </c>
      <c r="J782" t="str">
        <f>VLOOKUP(G782,Table4[[#All],[Cost Center]:[Client Type]],5,TRUE)</f>
        <v>Osama Mezayn</v>
      </c>
    </row>
    <row r="783" spans="6:10" x14ac:dyDescent="0.25">
      <c r="F783" t="s">
        <v>97</v>
      </c>
      <c r="G783" s="7" cm="1">
        <f t="array" ref="G783">INT(planned(F783))</f>
        <v>138</v>
      </c>
      <c r="H783">
        <f>VLOOKUP(G783,Table4[[#All],[Cost Center]:[Client Type]],2,TRUE)</f>
        <v>6</v>
      </c>
      <c r="I783" t="str">
        <f>VLOOKUP(G783,Table4[[#All],[Cost Center]:[Client Type]],3,TRUE)</f>
        <v>Creek</v>
      </c>
      <c r="J783" t="str">
        <f>VLOOKUP(G783,Table4[[#All],[Cost Center]:[Client Type]],5,TRUE)</f>
        <v>Osama Mezayn</v>
      </c>
    </row>
    <row r="784" spans="6:10" x14ac:dyDescent="0.25">
      <c r="F784" t="s">
        <v>97</v>
      </c>
      <c r="G784" s="7" cm="1">
        <f t="array" ref="G784">INT(planned(F784))</f>
        <v>138</v>
      </c>
      <c r="H784">
        <f>VLOOKUP(G784,Table4[[#All],[Cost Center]:[Client Type]],2,TRUE)</f>
        <v>6</v>
      </c>
      <c r="I784" t="str">
        <f>VLOOKUP(G784,Table4[[#All],[Cost Center]:[Client Type]],3,TRUE)</f>
        <v>Creek</v>
      </c>
      <c r="J784" t="str">
        <f>VLOOKUP(G784,Table4[[#All],[Cost Center]:[Client Type]],5,TRUE)</f>
        <v>Osama Mezayn</v>
      </c>
    </row>
    <row r="785" spans="6:10" x14ac:dyDescent="0.25">
      <c r="F785" t="s">
        <v>97</v>
      </c>
      <c r="G785" s="7" cm="1">
        <f t="array" ref="G785">INT(planned(F785))</f>
        <v>138</v>
      </c>
      <c r="H785">
        <f>VLOOKUP(G785,Table4[[#All],[Cost Center]:[Client Type]],2,TRUE)</f>
        <v>6</v>
      </c>
      <c r="I785" t="str">
        <f>VLOOKUP(G785,Table4[[#All],[Cost Center]:[Client Type]],3,TRUE)</f>
        <v>Creek</v>
      </c>
      <c r="J785" t="str">
        <f>VLOOKUP(G785,Table4[[#All],[Cost Center]:[Client Type]],5,TRUE)</f>
        <v>Osama Mezayn</v>
      </c>
    </row>
    <row r="786" spans="6:10" x14ac:dyDescent="0.25">
      <c r="F786" t="s">
        <v>97</v>
      </c>
      <c r="G786" s="7" cm="1">
        <f t="array" ref="G786">INT(planned(F786))</f>
        <v>138</v>
      </c>
      <c r="H786">
        <f>VLOOKUP(G786,Table4[[#All],[Cost Center]:[Client Type]],2,TRUE)</f>
        <v>6</v>
      </c>
      <c r="I786" t="str">
        <f>VLOOKUP(G786,Table4[[#All],[Cost Center]:[Client Type]],3,TRUE)</f>
        <v>Creek</v>
      </c>
      <c r="J786" t="str">
        <f>VLOOKUP(G786,Table4[[#All],[Cost Center]:[Client Type]],5,TRUE)</f>
        <v>Osama Mezayn</v>
      </c>
    </row>
    <row r="787" spans="6:10" x14ac:dyDescent="0.25">
      <c r="F787" t="s">
        <v>97</v>
      </c>
      <c r="G787" s="7" cm="1">
        <f t="array" ref="G787">INT(planned(F787))</f>
        <v>138</v>
      </c>
      <c r="H787">
        <f>VLOOKUP(G787,Table4[[#All],[Cost Center]:[Client Type]],2,TRUE)</f>
        <v>6</v>
      </c>
      <c r="I787" t="str">
        <f>VLOOKUP(G787,Table4[[#All],[Cost Center]:[Client Type]],3,TRUE)</f>
        <v>Creek</v>
      </c>
      <c r="J787" t="str">
        <f>VLOOKUP(G787,Table4[[#All],[Cost Center]:[Client Type]],5,TRUE)</f>
        <v>Osama Mezayn</v>
      </c>
    </row>
    <row r="788" spans="6:10" x14ac:dyDescent="0.25">
      <c r="F788" t="s">
        <v>97</v>
      </c>
      <c r="G788" s="7" cm="1">
        <f t="array" ref="G788">INT(planned(F788))</f>
        <v>138</v>
      </c>
      <c r="H788">
        <f>VLOOKUP(G788,Table4[[#All],[Cost Center]:[Client Type]],2,TRUE)</f>
        <v>6</v>
      </c>
      <c r="I788" t="str">
        <f>VLOOKUP(G788,Table4[[#All],[Cost Center]:[Client Type]],3,TRUE)</f>
        <v>Creek</v>
      </c>
      <c r="J788" t="str">
        <f>VLOOKUP(G788,Table4[[#All],[Cost Center]:[Client Type]],5,TRUE)</f>
        <v>Osama Mezayn</v>
      </c>
    </row>
    <row r="789" spans="6:10" x14ac:dyDescent="0.25">
      <c r="F789" t="s">
        <v>97</v>
      </c>
      <c r="G789" s="7" cm="1">
        <f t="array" ref="G789">INT(planned(F789))</f>
        <v>138</v>
      </c>
      <c r="H789">
        <f>VLOOKUP(G789,Table4[[#All],[Cost Center]:[Client Type]],2,TRUE)</f>
        <v>6</v>
      </c>
      <c r="I789" t="str">
        <f>VLOOKUP(G789,Table4[[#All],[Cost Center]:[Client Type]],3,TRUE)</f>
        <v>Creek</v>
      </c>
      <c r="J789" t="str">
        <f>VLOOKUP(G789,Table4[[#All],[Cost Center]:[Client Type]],5,TRUE)</f>
        <v>Osama Mezayn</v>
      </c>
    </row>
    <row r="790" spans="6:10" x14ac:dyDescent="0.25">
      <c r="F790" t="s">
        <v>97</v>
      </c>
      <c r="G790" s="7" cm="1">
        <f t="array" ref="G790">INT(planned(F790))</f>
        <v>138</v>
      </c>
      <c r="H790">
        <f>VLOOKUP(G790,Table4[[#All],[Cost Center]:[Client Type]],2,TRUE)</f>
        <v>6</v>
      </c>
      <c r="I790" t="str">
        <f>VLOOKUP(G790,Table4[[#All],[Cost Center]:[Client Type]],3,TRUE)</f>
        <v>Creek</v>
      </c>
      <c r="J790" t="str">
        <f>VLOOKUP(G790,Table4[[#All],[Cost Center]:[Client Type]],5,TRUE)</f>
        <v>Osama Mezayn</v>
      </c>
    </row>
    <row r="791" spans="6:10" x14ac:dyDescent="0.25">
      <c r="F791" t="s">
        <v>97</v>
      </c>
      <c r="G791" s="7" cm="1">
        <f t="array" ref="G791">INT(planned(F791))</f>
        <v>138</v>
      </c>
      <c r="H791">
        <f>VLOOKUP(G791,Table4[[#All],[Cost Center]:[Client Type]],2,TRUE)</f>
        <v>6</v>
      </c>
      <c r="I791" t="str">
        <f>VLOOKUP(G791,Table4[[#All],[Cost Center]:[Client Type]],3,TRUE)</f>
        <v>Creek</v>
      </c>
      <c r="J791" t="str">
        <f>VLOOKUP(G791,Table4[[#All],[Cost Center]:[Client Type]],5,TRUE)</f>
        <v>Osama Mezayn</v>
      </c>
    </row>
    <row r="792" spans="6:10" x14ac:dyDescent="0.25">
      <c r="F792" t="s">
        <v>97</v>
      </c>
      <c r="G792" s="7" cm="1">
        <f t="array" ref="G792">INT(planned(F792))</f>
        <v>138</v>
      </c>
      <c r="H792">
        <f>VLOOKUP(G792,Table4[[#All],[Cost Center]:[Client Type]],2,TRUE)</f>
        <v>6</v>
      </c>
      <c r="I792" t="str">
        <f>VLOOKUP(G792,Table4[[#All],[Cost Center]:[Client Type]],3,TRUE)</f>
        <v>Creek</v>
      </c>
      <c r="J792" t="str">
        <f>VLOOKUP(G792,Table4[[#All],[Cost Center]:[Client Type]],5,TRUE)</f>
        <v>Osama Mezayn</v>
      </c>
    </row>
    <row r="793" spans="6:10" x14ac:dyDescent="0.25">
      <c r="F793" t="s">
        <v>97</v>
      </c>
      <c r="G793" s="7" cm="1">
        <f t="array" ref="G793">INT(planned(F793))</f>
        <v>138</v>
      </c>
      <c r="H793">
        <f>VLOOKUP(G793,Table4[[#All],[Cost Center]:[Client Type]],2,TRUE)</f>
        <v>6</v>
      </c>
      <c r="I793" t="str">
        <f>VLOOKUP(G793,Table4[[#All],[Cost Center]:[Client Type]],3,TRUE)</f>
        <v>Creek</v>
      </c>
      <c r="J793" t="str">
        <f>VLOOKUP(G793,Table4[[#All],[Cost Center]:[Client Type]],5,TRUE)</f>
        <v>Osama Mezayn</v>
      </c>
    </row>
    <row r="794" spans="6:10" x14ac:dyDescent="0.25">
      <c r="F794" t="s">
        <v>97</v>
      </c>
      <c r="G794" s="7" cm="1">
        <f t="array" ref="G794">INT(planned(F794))</f>
        <v>138</v>
      </c>
      <c r="H794">
        <f>VLOOKUP(G794,Table4[[#All],[Cost Center]:[Client Type]],2,TRUE)</f>
        <v>6</v>
      </c>
      <c r="I794" t="str">
        <f>VLOOKUP(G794,Table4[[#All],[Cost Center]:[Client Type]],3,TRUE)</f>
        <v>Creek</v>
      </c>
      <c r="J794" t="str">
        <f>VLOOKUP(G794,Table4[[#All],[Cost Center]:[Client Type]],5,TRUE)</f>
        <v>Osama Mezayn</v>
      </c>
    </row>
    <row r="795" spans="6:10" x14ac:dyDescent="0.25">
      <c r="F795" t="s">
        <v>97</v>
      </c>
      <c r="G795" s="7" cm="1">
        <f t="array" ref="G795">INT(planned(F795))</f>
        <v>138</v>
      </c>
      <c r="H795">
        <f>VLOOKUP(G795,Table4[[#All],[Cost Center]:[Client Type]],2,TRUE)</f>
        <v>6</v>
      </c>
      <c r="I795" t="str">
        <f>VLOOKUP(G795,Table4[[#All],[Cost Center]:[Client Type]],3,TRUE)</f>
        <v>Creek</v>
      </c>
      <c r="J795" t="str">
        <f>VLOOKUP(G795,Table4[[#All],[Cost Center]:[Client Type]],5,TRUE)</f>
        <v>Osama Mezayn</v>
      </c>
    </row>
    <row r="796" spans="6:10" x14ac:dyDescent="0.25">
      <c r="F796" t="s">
        <v>97</v>
      </c>
      <c r="G796" s="7" cm="1">
        <f t="array" ref="G796">INT(planned(F796))</f>
        <v>138</v>
      </c>
      <c r="H796">
        <f>VLOOKUP(G796,Table4[[#All],[Cost Center]:[Client Type]],2,TRUE)</f>
        <v>6</v>
      </c>
      <c r="I796" t="str">
        <f>VLOOKUP(G796,Table4[[#All],[Cost Center]:[Client Type]],3,TRUE)</f>
        <v>Creek</v>
      </c>
      <c r="J796" t="str">
        <f>VLOOKUP(G796,Table4[[#All],[Cost Center]:[Client Type]],5,TRUE)</f>
        <v>Osama Mezayn</v>
      </c>
    </row>
    <row r="797" spans="6:10" x14ac:dyDescent="0.25">
      <c r="F797" t="s">
        <v>97</v>
      </c>
      <c r="G797" s="7" cm="1">
        <f t="array" ref="G797">INT(planned(F797))</f>
        <v>138</v>
      </c>
      <c r="H797">
        <f>VLOOKUP(G797,Table4[[#All],[Cost Center]:[Client Type]],2,TRUE)</f>
        <v>6</v>
      </c>
      <c r="I797" t="str">
        <f>VLOOKUP(G797,Table4[[#All],[Cost Center]:[Client Type]],3,TRUE)</f>
        <v>Creek</v>
      </c>
      <c r="J797" t="str">
        <f>VLOOKUP(G797,Table4[[#All],[Cost Center]:[Client Type]],5,TRUE)</f>
        <v>Osama Mezayn</v>
      </c>
    </row>
    <row r="798" spans="6:10" x14ac:dyDescent="0.25">
      <c r="F798" t="s">
        <v>97</v>
      </c>
      <c r="G798" s="7" cm="1">
        <f t="array" ref="G798">INT(planned(F798))</f>
        <v>138</v>
      </c>
      <c r="H798">
        <f>VLOOKUP(G798,Table4[[#All],[Cost Center]:[Client Type]],2,TRUE)</f>
        <v>6</v>
      </c>
      <c r="I798" t="str">
        <f>VLOOKUP(G798,Table4[[#All],[Cost Center]:[Client Type]],3,TRUE)</f>
        <v>Creek</v>
      </c>
      <c r="J798" t="str">
        <f>VLOOKUP(G798,Table4[[#All],[Cost Center]:[Client Type]],5,TRUE)</f>
        <v>Osama Mezayn</v>
      </c>
    </row>
    <row r="799" spans="6:10" x14ac:dyDescent="0.25">
      <c r="F799" t="s">
        <v>97</v>
      </c>
      <c r="G799" s="7" cm="1">
        <f t="array" ref="G799">INT(planned(F799))</f>
        <v>138</v>
      </c>
      <c r="H799">
        <f>VLOOKUP(G799,Table4[[#All],[Cost Center]:[Client Type]],2,TRUE)</f>
        <v>6</v>
      </c>
      <c r="I799" t="str">
        <f>VLOOKUP(G799,Table4[[#All],[Cost Center]:[Client Type]],3,TRUE)</f>
        <v>Creek</v>
      </c>
      <c r="J799" t="str">
        <f>VLOOKUP(G799,Table4[[#All],[Cost Center]:[Client Type]],5,TRUE)</f>
        <v>Osama Mezayn</v>
      </c>
    </row>
    <row r="800" spans="6:10" x14ac:dyDescent="0.25">
      <c r="F800" t="s">
        <v>97</v>
      </c>
      <c r="G800" s="7" cm="1">
        <f t="array" ref="G800">INT(planned(F800))</f>
        <v>138</v>
      </c>
      <c r="H800">
        <f>VLOOKUP(G800,Table4[[#All],[Cost Center]:[Client Type]],2,TRUE)</f>
        <v>6</v>
      </c>
      <c r="I800" t="str">
        <f>VLOOKUP(G800,Table4[[#All],[Cost Center]:[Client Type]],3,TRUE)</f>
        <v>Creek</v>
      </c>
      <c r="J800" t="str">
        <f>VLOOKUP(G800,Table4[[#All],[Cost Center]:[Client Type]],5,TRUE)</f>
        <v>Osama Mezayn</v>
      </c>
    </row>
    <row r="801" spans="6:10" x14ac:dyDescent="0.25">
      <c r="F801" t="s">
        <v>97</v>
      </c>
      <c r="G801" s="7" cm="1">
        <f t="array" ref="G801">INT(planned(F801))</f>
        <v>138</v>
      </c>
      <c r="H801">
        <f>VLOOKUP(G801,Table4[[#All],[Cost Center]:[Client Type]],2,TRUE)</f>
        <v>6</v>
      </c>
      <c r="I801" t="str">
        <f>VLOOKUP(G801,Table4[[#All],[Cost Center]:[Client Type]],3,TRUE)</f>
        <v>Creek</v>
      </c>
      <c r="J801" t="str">
        <f>VLOOKUP(G801,Table4[[#All],[Cost Center]:[Client Type]],5,TRUE)</f>
        <v>Osama Mezayn</v>
      </c>
    </row>
    <row r="802" spans="6:10" x14ac:dyDescent="0.25">
      <c r="F802" t="s">
        <v>97</v>
      </c>
      <c r="G802" s="7" cm="1">
        <f t="array" ref="G802">INT(planned(F802))</f>
        <v>138</v>
      </c>
      <c r="H802">
        <f>VLOOKUP(G802,Table4[[#All],[Cost Center]:[Client Type]],2,TRUE)</f>
        <v>6</v>
      </c>
      <c r="I802" t="str">
        <f>VLOOKUP(G802,Table4[[#All],[Cost Center]:[Client Type]],3,TRUE)</f>
        <v>Creek</v>
      </c>
      <c r="J802" t="str">
        <f>VLOOKUP(G802,Table4[[#All],[Cost Center]:[Client Type]],5,TRUE)</f>
        <v>Osama Mezayn</v>
      </c>
    </row>
    <row r="803" spans="6:10" x14ac:dyDescent="0.25">
      <c r="F803" t="s">
        <v>97</v>
      </c>
      <c r="G803" s="7" cm="1">
        <f t="array" ref="G803">INT(planned(F803))</f>
        <v>138</v>
      </c>
      <c r="H803">
        <f>VLOOKUP(G803,Table4[[#All],[Cost Center]:[Client Type]],2,TRUE)</f>
        <v>6</v>
      </c>
      <c r="I803" t="str">
        <f>VLOOKUP(G803,Table4[[#All],[Cost Center]:[Client Type]],3,TRUE)</f>
        <v>Creek</v>
      </c>
      <c r="J803" t="str">
        <f>VLOOKUP(G803,Table4[[#All],[Cost Center]:[Client Type]],5,TRUE)</f>
        <v>Osama Mezayn</v>
      </c>
    </row>
    <row r="804" spans="6:10" x14ac:dyDescent="0.25">
      <c r="F804" t="s">
        <v>97</v>
      </c>
      <c r="G804" s="7" cm="1">
        <f t="array" ref="G804">INT(planned(F804))</f>
        <v>138</v>
      </c>
      <c r="H804">
        <f>VLOOKUP(G804,Table4[[#All],[Cost Center]:[Client Type]],2,TRUE)</f>
        <v>6</v>
      </c>
      <c r="I804" t="str">
        <f>VLOOKUP(G804,Table4[[#All],[Cost Center]:[Client Type]],3,TRUE)</f>
        <v>Creek</v>
      </c>
      <c r="J804" t="str">
        <f>VLOOKUP(G804,Table4[[#All],[Cost Center]:[Client Type]],5,TRUE)</f>
        <v>Osama Mezayn</v>
      </c>
    </row>
    <row r="805" spans="6:10" x14ac:dyDescent="0.25">
      <c r="F805" t="s">
        <v>97</v>
      </c>
      <c r="G805" s="7" cm="1">
        <f t="array" ref="G805">INT(planned(F805))</f>
        <v>138</v>
      </c>
      <c r="H805">
        <f>VLOOKUP(G805,Table4[[#All],[Cost Center]:[Client Type]],2,TRUE)</f>
        <v>6</v>
      </c>
      <c r="I805" t="str">
        <f>VLOOKUP(G805,Table4[[#All],[Cost Center]:[Client Type]],3,TRUE)</f>
        <v>Creek</v>
      </c>
      <c r="J805" t="str">
        <f>VLOOKUP(G805,Table4[[#All],[Cost Center]:[Client Type]],5,TRUE)</f>
        <v>Osama Mezayn</v>
      </c>
    </row>
    <row r="806" spans="6:10" x14ac:dyDescent="0.25">
      <c r="F806" t="s">
        <v>97</v>
      </c>
      <c r="G806" s="7" cm="1">
        <f t="array" ref="G806">INT(planned(F806))</f>
        <v>138</v>
      </c>
      <c r="H806">
        <f>VLOOKUP(G806,Table4[[#All],[Cost Center]:[Client Type]],2,TRUE)</f>
        <v>6</v>
      </c>
      <c r="I806" t="str">
        <f>VLOOKUP(G806,Table4[[#All],[Cost Center]:[Client Type]],3,TRUE)</f>
        <v>Creek</v>
      </c>
      <c r="J806" t="str">
        <f>VLOOKUP(G806,Table4[[#All],[Cost Center]:[Client Type]],5,TRUE)</f>
        <v>Osama Mezayn</v>
      </c>
    </row>
    <row r="807" spans="6:10" x14ac:dyDescent="0.25">
      <c r="F807" t="s">
        <v>97</v>
      </c>
      <c r="G807" s="7" cm="1">
        <f t="array" ref="G807">INT(planned(F807))</f>
        <v>138</v>
      </c>
      <c r="H807">
        <f>VLOOKUP(G807,Table4[[#All],[Cost Center]:[Client Type]],2,TRUE)</f>
        <v>6</v>
      </c>
      <c r="I807" t="str">
        <f>VLOOKUP(G807,Table4[[#All],[Cost Center]:[Client Type]],3,TRUE)</f>
        <v>Creek</v>
      </c>
      <c r="J807" t="str">
        <f>VLOOKUP(G807,Table4[[#All],[Cost Center]:[Client Type]],5,TRUE)</f>
        <v>Osama Mezayn</v>
      </c>
    </row>
    <row r="808" spans="6:10" x14ac:dyDescent="0.25">
      <c r="F808" t="s">
        <v>97</v>
      </c>
      <c r="G808" s="7" cm="1">
        <f t="array" ref="G808">INT(planned(F808))</f>
        <v>138</v>
      </c>
      <c r="H808">
        <f>VLOOKUP(G808,Table4[[#All],[Cost Center]:[Client Type]],2,TRUE)</f>
        <v>6</v>
      </c>
      <c r="I808" t="str">
        <f>VLOOKUP(G808,Table4[[#All],[Cost Center]:[Client Type]],3,TRUE)</f>
        <v>Creek</v>
      </c>
      <c r="J808" t="str">
        <f>VLOOKUP(G808,Table4[[#All],[Cost Center]:[Client Type]],5,TRUE)</f>
        <v>Osama Mezayn</v>
      </c>
    </row>
    <row r="809" spans="6:10" x14ac:dyDescent="0.25">
      <c r="F809" t="s">
        <v>97</v>
      </c>
      <c r="G809" s="7" cm="1">
        <f t="array" ref="G809">INT(planned(F809))</f>
        <v>138</v>
      </c>
      <c r="H809">
        <f>VLOOKUP(G809,Table4[[#All],[Cost Center]:[Client Type]],2,TRUE)</f>
        <v>6</v>
      </c>
      <c r="I809" t="str">
        <f>VLOOKUP(G809,Table4[[#All],[Cost Center]:[Client Type]],3,TRUE)</f>
        <v>Creek</v>
      </c>
      <c r="J809" t="str">
        <f>VLOOKUP(G809,Table4[[#All],[Cost Center]:[Client Type]],5,TRUE)</f>
        <v>Osama Mezayn</v>
      </c>
    </row>
    <row r="810" spans="6:10" x14ac:dyDescent="0.25">
      <c r="F810" t="s">
        <v>97</v>
      </c>
      <c r="G810" s="7" cm="1">
        <f t="array" ref="G810">INT(planned(F810))</f>
        <v>138</v>
      </c>
      <c r="H810">
        <f>VLOOKUP(G810,Table4[[#All],[Cost Center]:[Client Type]],2,TRUE)</f>
        <v>6</v>
      </c>
      <c r="I810" t="str">
        <f>VLOOKUP(G810,Table4[[#All],[Cost Center]:[Client Type]],3,TRUE)</f>
        <v>Creek</v>
      </c>
      <c r="J810" t="str">
        <f>VLOOKUP(G810,Table4[[#All],[Cost Center]:[Client Type]],5,TRUE)</f>
        <v>Osama Mezayn</v>
      </c>
    </row>
    <row r="811" spans="6:10" x14ac:dyDescent="0.25">
      <c r="F811" t="s">
        <v>97</v>
      </c>
      <c r="G811" s="7" cm="1">
        <f t="array" ref="G811">INT(planned(F811))</f>
        <v>138</v>
      </c>
      <c r="H811">
        <f>VLOOKUP(G811,Table4[[#All],[Cost Center]:[Client Type]],2,TRUE)</f>
        <v>6</v>
      </c>
      <c r="I811" t="str">
        <f>VLOOKUP(G811,Table4[[#All],[Cost Center]:[Client Type]],3,TRUE)</f>
        <v>Creek</v>
      </c>
      <c r="J811" t="str">
        <f>VLOOKUP(G811,Table4[[#All],[Cost Center]:[Client Type]],5,TRUE)</f>
        <v>Osama Mezayn</v>
      </c>
    </row>
    <row r="812" spans="6:10" x14ac:dyDescent="0.25">
      <c r="F812" t="s">
        <v>97</v>
      </c>
      <c r="G812" s="7" cm="1">
        <f t="array" ref="G812">INT(planned(F812))</f>
        <v>138</v>
      </c>
      <c r="H812">
        <f>VLOOKUP(G812,Table4[[#All],[Cost Center]:[Client Type]],2,TRUE)</f>
        <v>6</v>
      </c>
      <c r="I812" t="str">
        <f>VLOOKUP(G812,Table4[[#All],[Cost Center]:[Client Type]],3,TRUE)</f>
        <v>Creek</v>
      </c>
      <c r="J812" t="str">
        <f>VLOOKUP(G812,Table4[[#All],[Cost Center]:[Client Type]],5,TRUE)</f>
        <v>Osama Mezayn</v>
      </c>
    </row>
    <row r="813" spans="6:10" x14ac:dyDescent="0.25">
      <c r="F813" t="s">
        <v>97</v>
      </c>
      <c r="G813" s="7" cm="1">
        <f t="array" ref="G813">INT(planned(F813))</f>
        <v>138</v>
      </c>
      <c r="H813">
        <f>VLOOKUP(G813,Table4[[#All],[Cost Center]:[Client Type]],2,TRUE)</f>
        <v>6</v>
      </c>
      <c r="I813" t="str">
        <f>VLOOKUP(G813,Table4[[#All],[Cost Center]:[Client Type]],3,TRUE)</f>
        <v>Creek</v>
      </c>
      <c r="J813" t="str">
        <f>VLOOKUP(G813,Table4[[#All],[Cost Center]:[Client Type]],5,TRUE)</f>
        <v>Osama Mezayn</v>
      </c>
    </row>
    <row r="814" spans="6:10" x14ac:dyDescent="0.25">
      <c r="F814" t="s">
        <v>97</v>
      </c>
      <c r="G814" s="7" cm="1">
        <f t="array" ref="G814">INT(planned(F814))</f>
        <v>138</v>
      </c>
      <c r="H814">
        <f>VLOOKUP(G814,Table4[[#All],[Cost Center]:[Client Type]],2,TRUE)</f>
        <v>6</v>
      </c>
      <c r="I814" t="str">
        <f>VLOOKUP(G814,Table4[[#All],[Cost Center]:[Client Type]],3,TRUE)</f>
        <v>Creek</v>
      </c>
      <c r="J814" t="str">
        <f>VLOOKUP(G814,Table4[[#All],[Cost Center]:[Client Type]],5,TRUE)</f>
        <v>Osama Mezayn</v>
      </c>
    </row>
    <row r="815" spans="6:10" x14ac:dyDescent="0.25">
      <c r="F815" t="s">
        <v>97</v>
      </c>
      <c r="G815" s="7" cm="1">
        <f t="array" ref="G815">INT(planned(F815))</f>
        <v>138</v>
      </c>
      <c r="H815">
        <f>VLOOKUP(G815,Table4[[#All],[Cost Center]:[Client Type]],2,TRUE)</f>
        <v>6</v>
      </c>
      <c r="I815" t="str">
        <f>VLOOKUP(G815,Table4[[#All],[Cost Center]:[Client Type]],3,TRUE)</f>
        <v>Creek</v>
      </c>
      <c r="J815" t="str">
        <f>VLOOKUP(G815,Table4[[#All],[Cost Center]:[Client Type]],5,TRUE)</f>
        <v>Osama Mezayn</v>
      </c>
    </row>
    <row r="816" spans="6:10" x14ac:dyDescent="0.25">
      <c r="F816" t="s">
        <v>97</v>
      </c>
      <c r="G816" s="7" cm="1">
        <f t="array" ref="G816">INT(planned(F816))</f>
        <v>138</v>
      </c>
      <c r="H816">
        <f>VLOOKUP(G816,Table4[[#All],[Cost Center]:[Client Type]],2,TRUE)</f>
        <v>6</v>
      </c>
      <c r="I816" t="str">
        <f>VLOOKUP(G816,Table4[[#All],[Cost Center]:[Client Type]],3,TRUE)</f>
        <v>Creek</v>
      </c>
      <c r="J816" t="str">
        <f>VLOOKUP(G816,Table4[[#All],[Cost Center]:[Client Type]],5,TRUE)</f>
        <v>Osama Mezayn</v>
      </c>
    </row>
    <row r="817" spans="6:10" x14ac:dyDescent="0.25">
      <c r="F817" t="s">
        <v>97</v>
      </c>
      <c r="G817" s="7" cm="1">
        <f t="array" ref="G817">INT(planned(F817))</f>
        <v>138</v>
      </c>
      <c r="H817">
        <f>VLOOKUP(G817,Table4[[#All],[Cost Center]:[Client Type]],2,TRUE)</f>
        <v>6</v>
      </c>
      <c r="I817" t="str">
        <f>VLOOKUP(G817,Table4[[#All],[Cost Center]:[Client Type]],3,TRUE)</f>
        <v>Creek</v>
      </c>
      <c r="J817" t="str">
        <f>VLOOKUP(G817,Table4[[#All],[Cost Center]:[Client Type]],5,TRUE)</f>
        <v>Osama Mezayn</v>
      </c>
    </row>
    <row r="818" spans="6:10" x14ac:dyDescent="0.25">
      <c r="F818" t="s">
        <v>97</v>
      </c>
      <c r="G818" s="7" cm="1">
        <f t="array" ref="G818">INT(planned(F818))</f>
        <v>138</v>
      </c>
      <c r="H818">
        <f>VLOOKUP(G818,Table4[[#All],[Cost Center]:[Client Type]],2,TRUE)</f>
        <v>6</v>
      </c>
      <c r="I818" t="str">
        <f>VLOOKUP(G818,Table4[[#All],[Cost Center]:[Client Type]],3,TRUE)</f>
        <v>Creek</v>
      </c>
      <c r="J818" t="str">
        <f>VLOOKUP(G818,Table4[[#All],[Cost Center]:[Client Type]],5,TRUE)</f>
        <v>Osama Mezayn</v>
      </c>
    </row>
    <row r="819" spans="6:10" x14ac:dyDescent="0.25">
      <c r="F819" t="s">
        <v>97</v>
      </c>
      <c r="G819" s="7" cm="1">
        <f t="array" ref="G819">INT(planned(F819))</f>
        <v>138</v>
      </c>
      <c r="H819">
        <f>VLOOKUP(G819,Table4[[#All],[Cost Center]:[Client Type]],2,TRUE)</f>
        <v>6</v>
      </c>
      <c r="I819" t="str">
        <f>VLOOKUP(G819,Table4[[#All],[Cost Center]:[Client Type]],3,TRUE)</f>
        <v>Creek</v>
      </c>
      <c r="J819" t="str">
        <f>VLOOKUP(G819,Table4[[#All],[Cost Center]:[Client Type]],5,TRUE)</f>
        <v>Osama Mezayn</v>
      </c>
    </row>
    <row r="820" spans="6:10" x14ac:dyDescent="0.25">
      <c r="F820" t="s">
        <v>97</v>
      </c>
      <c r="G820" s="7" cm="1">
        <f t="array" ref="G820">INT(planned(F820))</f>
        <v>138</v>
      </c>
      <c r="H820">
        <f>VLOOKUP(G820,Table4[[#All],[Cost Center]:[Client Type]],2,TRUE)</f>
        <v>6</v>
      </c>
      <c r="I820" t="str">
        <f>VLOOKUP(G820,Table4[[#All],[Cost Center]:[Client Type]],3,TRUE)</f>
        <v>Creek</v>
      </c>
      <c r="J820" t="str">
        <f>VLOOKUP(G820,Table4[[#All],[Cost Center]:[Client Type]],5,TRUE)</f>
        <v>Osama Mezayn</v>
      </c>
    </row>
    <row r="821" spans="6:10" x14ac:dyDescent="0.25">
      <c r="F821" t="s">
        <v>97</v>
      </c>
      <c r="G821" s="7" cm="1">
        <f t="array" ref="G821">INT(planned(F821))</f>
        <v>138</v>
      </c>
      <c r="H821">
        <f>VLOOKUP(G821,Table4[[#All],[Cost Center]:[Client Type]],2,TRUE)</f>
        <v>6</v>
      </c>
      <c r="I821" t="str">
        <f>VLOOKUP(G821,Table4[[#All],[Cost Center]:[Client Type]],3,TRUE)</f>
        <v>Creek</v>
      </c>
      <c r="J821" t="str">
        <f>VLOOKUP(G821,Table4[[#All],[Cost Center]:[Client Type]],5,TRUE)</f>
        <v>Osama Mezayn</v>
      </c>
    </row>
    <row r="822" spans="6:10" x14ac:dyDescent="0.25">
      <c r="F822" t="s">
        <v>97</v>
      </c>
      <c r="G822" s="7" cm="1">
        <f t="array" ref="G822">INT(planned(F822))</f>
        <v>138</v>
      </c>
      <c r="H822">
        <f>VLOOKUP(G822,Table4[[#All],[Cost Center]:[Client Type]],2,TRUE)</f>
        <v>6</v>
      </c>
      <c r="I822" t="str">
        <f>VLOOKUP(G822,Table4[[#All],[Cost Center]:[Client Type]],3,TRUE)</f>
        <v>Creek</v>
      </c>
      <c r="J822" t="str">
        <f>VLOOKUP(G822,Table4[[#All],[Cost Center]:[Client Type]],5,TRUE)</f>
        <v>Osama Mezayn</v>
      </c>
    </row>
    <row r="823" spans="6:10" x14ac:dyDescent="0.25">
      <c r="F823" t="s">
        <v>97</v>
      </c>
      <c r="G823" s="7" cm="1">
        <f t="array" ref="G823">INT(planned(F823))</f>
        <v>138</v>
      </c>
      <c r="H823">
        <f>VLOOKUP(G823,Table4[[#All],[Cost Center]:[Client Type]],2,TRUE)</f>
        <v>6</v>
      </c>
      <c r="I823" t="str">
        <f>VLOOKUP(G823,Table4[[#All],[Cost Center]:[Client Type]],3,TRUE)</f>
        <v>Creek</v>
      </c>
      <c r="J823" t="str">
        <f>VLOOKUP(G823,Table4[[#All],[Cost Center]:[Client Type]],5,TRUE)</f>
        <v>Osama Mezayn</v>
      </c>
    </row>
    <row r="824" spans="6:10" x14ac:dyDescent="0.25">
      <c r="F824" t="s">
        <v>97</v>
      </c>
      <c r="G824" s="7" cm="1">
        <f t="array" ref="G824">INT(planned(F824))</f>
        <v>138</v>
      </c>
      <c r="H824">
        <f>VLOOKUP(G824,Table4[[#All],[Cost Center]:[Client Type]],2,TRUE)</f>
        <v>6</v>
      </c>
      <c r="I824" t="str">
        <f>VLOOKUP(G824,Table4[[#All],[Cost Center]:[Client Type]],3,TRUE)</f>
        <v>Creek</v>
      </c>
      <c r="J824" t="str">
        <f>VLOOKUP(G824,Table4[[#All],[Cost Center]:[Client Type]],5,TRUE)</f>
        <v>Osama Mezayn</v>
      </c>
    </row>
    <row r="825" spans="6:10" x14ac:dyDescent="0.25">
      <c r="F825" t="s">
        <v>97</v>
      </c>
      <c r="G825" s="7" cm="1">
        <f t="array" ref="G825">INT(planned(F825))</f>
        <v>138</v>
      </c>
      <c r="H825">
        <f>VLOOKUP(G825,Table4[[#All],[Cost Center]:[Client Type]],2,TRUE)</f>
        <v>6</v>
      </c>
      <c r="I825" t="str">
        <f>VLOOKUP(G825,Table4[[#All],[Cost Center]:[Client Type]],3,TRUE)</f>
        <v>Creek</v>
      </c>
      <c r="J825" t="str">
        <f>VLOOKUP(G825,Table4[[#All],[Cost Center]:[Client Type]],5,TRUE)</f>
        <v>Osama Mezayn</v>
      </c>
    </row>
    <row r="826" spans="6:10" x14ac:dyDescent="0.25">
      <c r="F826" t="s">
        <v>97</v>
      </c>
      <c r="G826" s="7" cm="1">
        <f t="array" ref="G826">INT(planned(F826))</f>
        <v>138</v>
      </c>
      <c r="H826">
        <f>VLOOKUP(G826,Table4[[#All],[Cost Center]:[Client Type]],2,TRUE)</f>
        <v>6</v>
      </c>
      <c r="I826" t="str">
        <f>VLOOKUP(G826,Table4[[#All],[Cost Center]:[Client Type]],3,TRUE)</f>
        <v>Creek</v>
      </c>
      <c r="J826" t="str">
        <f>VLOOKUP(G826,Table4[[#All],[Cost Center]:[Client Type]],5,TRUE)</f>
        <v>Osama Mezayn</v>
      </c>
    </row>
    <row r="827" spans="6:10" x14ac:dyDescent="0.25">
      <c r="F827" t="s">
        <v>97</v>
      </c>
      <c r="G827" s="7" cm="1">
        <f t="array" ref="G827">INT(planned(F827))</f>
        <v>138</v>
      </c>
      <c r="H827">
        <f>VLOOKUP(G827,Table4[[#All],[Cost Center]:[Client Type]],2,TRUE)</f>
        <v>6</v>
      </c>
      <c r="I827" t="str">
        <f>VLOOKUP(G827,Table4[[#All],[Cost Center]:[Client Type]],3,TRUE)</f>
        <v>Creek</v>
      </c>
      <c r="J827" t="str">
        <f>VLOOKUP(G827,Table4[[#All],[Cost Center]:[Client Type]],5,TRUE)</f>
        <v>Osama Mezayn</v>
      </c>
    </row>
    <row r="828" spans="6:10" x14ac:dyDescent="0.25">
      <c r="F828" t="s">
        <v>97</v>
      </c>
      <c r="G828" s="7" cm="1">
        <f t="array" ref="G828">INT(planned(F828))</f>
        <v>138</v>
      </c>
      <c r="H828">
        <f>VLOOKUP(G828,Table4[[#All],[Cost Center]:[Client Type]],2,TRUE)</f>
        <v>6</v>
      </c>
      <c r="I828" t="str">
        <f>VLOOKUP(G828,Table4[[#All],[Cost Center]:[Client Type]],3,TRUE)</f>
        <v>Creek</v>
      </c>
      <c r="J828" t="str">
        <f>VLOOKUP(G828,Table4[[#All],[Cost Center]:[Client Type]],5,TRUE)</f>
        <v>Osama Mezayn</v>
      </c>
    </row>
    <row r="829" spans="6:10" x14ac:dyDescent="0.25">
      <c r="F829" t="s">
        <v>97</v>
      </c>
      <c r="G829" s="7" cm="1">
        <f t="array" ref="G829">INT(planned(F829))</f>
        <v>138</v>
      </c>
      <c r="H829">
        <f>VLOOKUP(G829,Table4[[#All],[Cost Center]:[Client Type]],2,TRUE)</f>
        <v>6</v>
      </c>
      <c r="I829" t="str">
        <f>VLOOKUP(G829,Table4[[#All],[Cost Center]:[Client Type]],3,TRUE)</f>
        <v>Creek</v>
      </c>
      <c r="J829" t="str">
        <f>VLOOKUP(G829,Table4[[#All],[Cost Center]:[Client Type]],5,TRUE)</f>
        <v>Osama Mezayn</v>
      </c>
    </row>
    <row r="830" spans="6:10" x14ac:dyDescent="0.25">
      <c r="F830" t="s">
        <v>97</v>
      </c>
      <c r="G830" s="7" cm="1">
        <f t="array" ref="G830">INT(planned(F830))</f>
        <v>138</v>
      </c>
      <c r="H830">
        <f>VLOOKUP(G830,Table4[[#All],[Cost Center]:[Client Type]],2,TRUE)</f>
        <v>6</v>
      </c>
      <c r="I830" t="str">
        <f>VLOOKUP(G830,Table4[[#All],[Cost Center]:[Client Type]],3,TRUE)</f>
        <v>Creek</v>
      </c>
      <c r="J830" t="str">
        <f>VLOOKUP(G830,Table4[[#All],[Cost Center]:[Client Type]],5,TRUE)</f>
        <v>Osama Mezayn</v>
      </c>
    </row>
    <row r="831" spans="6:10" x14ac:dyDescent="0.25">
      <c r="F831" t="s">
        <v>97</v>
      </c>
      <c r="G831" s="7" cm="1">
        <f t="array" ref="G831">INT(planned(F831))</f>
        <v>138</v>
      </c>
      <c r="H831">
        <f>VLOOKUP(G831,Table4[[#All],[Cost Center]:[Client Type]],2,TRUE)</f>
        <v>6</v>
      </c>
      <c r="I831" t="str">
        <f>VLOOKUP(G831,Table4[[#All],[Cost Center]:[Client Type]],3,TRUE)</f>
        <v>Creek</v>
      </c>
      <c r="J831" t="str">
        <f>VLOOKUP(G831,Table4[[#All],[Cost Center]:[Client Type]],5,TRUE)</f>
        <v>Osama Mezayn</v>
      </c>
    </row>
    <row r="832" spans="6:10" x14ac:dyDescent="0.25">
      <c r="F832" t="s">
        <v>97</v>
      </c>
      <c r="G832" s="7" cm="1">
        <f t="array" ref="G832">INT(planned(F832))</f>
        <v>138</v>
      </c>
      <c r="H832">
        <f>VLOOKUP(G832,Table4[[#All],[Cost Center]:[Client Type]],2,TRUE)</f>
        <v>6</v>
      </c>
      <c r="I832" t="str">
        <f>VLOOKUP(G832,Table4[[#All],[Cost Center]:[Client Type]],3,TRUE)</f>
        <v>Creek</v>
      </c>
      <c r="J832" t="str">
        <f>VLOOKUP(G832,Table4[[#All],[Cost Center]:[Client Type]],5,TRUE)</f>
        <v>Osama Mezayn</v>
      </c>
    </row>
    <row r="833" spans="6:10" x14ac:dyDescent="0.25">
      <c r="F833" t="s">
        <v>97</v>
      </c>
      <c r="G833" s="7" cm="1">
        <f t="array" ref="G833">INT(planned(F833))</f>
        <v>138</v>
      </c>
      <c r="H833">
        <f>VLOOKUP(G833,Table4[[#All],[Cost Center]:[Client Type]],2,TRUE)</f>
        <v>6</v>
      </c>
      <c r="I833" t="str">
        <f>VLOOKUP(G833,Table4[[#All],[Cost Center]:[Client Type]],3,TRUE)</f>
        <v>Creek</v>
      </c>
      <c r="J833" t="str">
        <f>VLOOKUP(G833,Table4[[#All],[Cost Center]:[Client Type]],5,TRUE)</f>
        <v>Osama Mezayn</v>
      </c>
    </row>
    <row r="834" spans="6:10" x14ac:dyDescent="0.25">
      <c r="F834" t="s">
        <v>97</v>
      </c>
      <c r="G834" s="7" cm="1">
        <f t="array" ref="G834">INT(planned(F834))</f>
        <v>138</v>
      </c>
      <c r="H834">
        <f>VLOOKUP(G834,Table4[[#All],[Cost Center]:[Client Type]],2,TRUE)</f>
        <v>6</v>
      </c>
      <c r="I834" t="str">
        <f>VLOOKUP(G834,Table4[[#All],[Cost Center]:[Client Type]],3,TRUE)</f>
        <v>Creek</v>
      </c>
      <c r="J834" t="str">
        <f>VLOOKUP(G834,Table4[[#All],[Cost Center]:[Client Type]],5,TRUE)</f>
        <v>Osama Mezayn</v>
      </c>
    </row>
    <row r="835" spans="6:10" x14ac:dyDescent="0.25">
      <c r="F835" t="s">
        <v>97</v>
      </c>
      <c r="G835" s="7" cm="1">
        <f t="array" ref="G835">INT(planned(F835))</f>
        <v>138</v>
      </c>
      <c r="H835">
        <f>VLOOKUP(G835,Table4[[#All],[Cost Center]:[Client Type]],2,TRUE)</f>
        <v>6</v>
      </c>
      <c r="I835" t="str">
        <f>VLOOKUP(G835,Table4[[#All],[Cost Center]:[Client Type]],3,TRUE)</f>
        <v>Creek</v>
      </c>
      <c r="J835" t="str">
        <f>VLOOKUP(G835,Table4[[#All],[Cost Center]:[Client Type]],5,TRUE)</f>
        <v>Osama Mezayn</v>
      </c>
    </row>
    <row r="836" spans="6:10" x14ac:dyDescent="0.25">
      <c r="F836" t="s">
        <v>97</v>
      </c>
      <c r="G836" s="7" cm="1">
        <f t="array" ref="G836">INT(planned(F836))</f>
        <v>138</v>
      </c>
      <c r="H836">
        <f>VLOOKUP(G836,Table4[[#All],[Cost Center]:[Client Type]],2,TRUE)</f>
        <v>6</v>
      </c>
      <c r="I836" t="str">
        <f>VLOOKUP(G836,Table4[[#All],[Cost Center]:[Client Type]],3,TRUE)</f>
        <v>Creek</v>
      </c>
      <c r="J836" t="str">
        <f>VLOOKUP(G836,Table4[[#All],[Cost Center]:[Client Type]],5,TRUE)</f>
        <v>Osama Mezayn</v>
      </c>
    </row>
    <row r="837" spans="6:10" x14ac:dyDescent="0.25">
      <c r="F837" t="s">
        <v>97</v>
      </c>
      <c r="G837" s="7" cm="1">
        <f t="array" ref="G837">INT(planned(F837))</f>
        <v>138</v>
      </c>
      <c r="H837">
        <f>VLOOKUP(G837,Table4[[#All],[Cost Center]:[Client Type]],2,TRUE)</f>
        <v>6</v>
      </c>
      <c r="I837" t="str">
        <f>VLOOKUP(G837,Table4[[#All],[Cost Center]:[Client Type]],3,TRUE)</f>
        <v>Creek</v>
      </c>
      <c r="J837" t="str">
        <f>VLOOKUP(G837,Table4[[#All],[Cost Center]:[Client Type]],5,TRUE)</f>
        <v>Osama Mezayn</v>
      </c>
    </row>
    <row r="838" spans="6:10" x14ac:dyDescent="0.25">
      <c r="F838" t="s">
        <v>97</v>
      </c>
      <c r="G838" s="7" cm="1">
        <f t="array" ref="G838">INT(planned(F838))</f>
        <v>138</v>
      </c>
      <c r="H838">
        <f>VLOOKUP(G838,Table4[[#All],[Cost Center]:[Client Type]],2,TRUE)</f>
        <v>6</v>
      </c>
      <c r="I838" t="str">
        <f>VLOOKUP(G838,Table4[[#All],[Cost Center]:[Client Type]],3,TRUE)</f>
        <v>Creek</v>
      </c>
      <c r="J838" t="str">
        <f>VLOOKUP(G838,Table4[[#All],[Cost Center]:[Client Type]],5,TRUE)</f>
        <v>Osama Mezayn</v>
      </c>
    </row>
    <row r="839" spans="6:10" x14ac:dyDescent="0.25">
      <c r="F839" t="s">
        <v>97</v>
      </c>
      <c r="G839" s="7" cm="1">
        <f t="array" ref="G839">INT(planned(F839))</f>
        <v>138</v>
      </c>
      <c r="H839">
        <f>VLOOKUP(G839,Table4[[#All],[Cost Center]:[Client Type]],2,TRUE)</f>
        <v>6</v>
      </c>
      <c r="I839" t="str">
        <f>VLOOKUP(G839,Table4[[#All],[Cost Center]:[Client Type]],3,TRUE)</f>
        <v>Creek</v>
      </c>
      <c r="J839" t="str">
        <f>VLOOKUP(G839,Table4[[#All],[Cost Center]:[Client Type]],5,TRUE)</f>
        <v>Osama Mezayn</v>
      </c>
    </row>
    <row r="840" spans="6:10" x14ac:dyDescent="0.25">
      <c r="F840" t="s">
        <v>97</v>
      </c>
      <c r="G840" s="7" cm="1">
        <f t="array" ref="G840">INT(planned(F840))</f>
        <v>138</v>
      </c>
      <c r="H840">
        <f>VLOOKUP(G840,Table4[[#All],[Cost Center]:[Client Type]],2,TRUE)</f>
        <v>6</v>
      </c>
      <c r="I840" t="str">
        <f>VLOOKUP(G840,Table4[[#All],[Cost Center]:[Client Type]],3,TRUE)</f>
        <v>Creek</v>
      </c>
      <c r="J840" t="str">
        <f>VLOOKUP(G840,Table4[[#All],[Cost Center]:[Client Type]],5,TRUE)</f>
        <v>Osama Mezayn</v>
      </c>
    </row>
    <row r="841" spans="6:10" x14ac:dyDescent="0.25">
      <c r="F841" t="s">
        <v>97</v>
      </c>
      <c r="G841" s="7" cm="1">
        <f t="array" ref="G841">INT(planned(F841))</f>
        <v>138</v>
      </c>
      <c r="H841">
        <f>VLOOKUP(G841,Table4[[#All],[Cost Center]:[Client Type]],2,TRUE)</f>
        <v>6</v>
      </c>
      <c r="I841" t="str">
        <f>VLOOKUP(G841,Table4[[#All],[Cost Center]:[Client Type]],3,TRUE)</f>
        <v>Creek</v>
      </c>
      <c r="J841" t="str">
        <f>VLOOKUP(G841,Table4[[#All],[Cost Center]:[Client Type]],5,TRUE)</f>
        <v>Osama Mezayn</v>
      </c>
    </row>
    <row r="842" spans="6:10" x14ac:dyDescent="0.25">
      <c r="F842" t="s">
        <v>97</v>
      </c>
      <c r="G842" s="7" cm="1">
        <f t="array" ref="G842">INT(planned(F842))</f>
        <v>138</v>
      </c>
      <c r="H842">
        <f>VLOOKUP(G842,Table4[[#All],[Cost Center]:[Client Type]],2,TRUE)</f>
        <v>6</v>
      </c>
      <c r="I842" t="str">
        <f>VLOOKUP(G842,Table4[[#All],[Cost Center]:[Client Type]],3,TRUE)</f>
        <v>Creek</v>
      </c>
      <c r="J842" t="str">
        <f>VLOOKUP(G842,Table4[[#All],[Cost Center]:[Client Type]],5,TRUE)</f>
        <v>Osama Mezayn</v>
      </c>
    </row>
    <row r="843" spans="6:10" x14ac:dyDescent="0.25">
      <c r="F843" t="s">
        <v>97</v>
      </c>
      <c r="G843" s="7" cm="1">
        <f t="array" ref="G843">INT(planned(F843))</f>
        <v>138</v>
      </c>
      <c r="H843">
        <f>VLOOKUP(G843,Table4[[#All],[Cost Center]:[Client Type]],2,TRUE)</f>
        <v>6</v>
      </c>
      <c r="I843" t="str">
        <f>VLOOKUP(G843,Table4[[#All],[Cost Center]:[Client Type]],3,TRUE)</f>
        <v>Creek</v>
      </c>
      <c r="J843" t="str">
        <f>VLOOKUP(G843,Table4[[#All],[Cost Center]:[Client Type]],5,TRUE)</f>
        <v>Osama Mezayn</v>
      </c>
    </row>
    <row r="844" spans="6:10" x14ac:dyDescent="0.25">
      <c r="F844" t="s">
        <v>97</v>
      </c>
      <c r="G844" s="7" cm="1">
        <f t="array" ref="G844">INT(planned(F844))</f>
        <v>138</v>
      </c>
      <c r="H844">
        <f>VLOOKUP(G844,Table4[[#All],[Cost Center]:[Client Type]],2,TRUE)</f>
        <v>6</v>
      </c>
      <c r="I844" t="str">
        <f>VLOOKUP(G844,Table4[[#All],[Cost Center]:[Client Type]],3,TRUE)</f>
        <v>Creek</v>
      </c>
      <c r="J844" t="str">
        <f>VLOOKUP(G844,Table4[[#All],[Cost Center]:[Client Type]],5,TRUE)</f>
        <v>Osama Mezayn</v>
      </c>
    </row>
    <row r="845" spans="6:10" x14ac:dyDescent="0.25">
      <c r="F845" t="s">
        <v>97</v>
      </c>
      <c r="G845" s="7" cm="1">
        <f t="array" ref="G845">INT(planned(F845))</f>
        <v>138</v>
      </c>
      <c r="H845">
        <f>VLOOKUP(G845,Table4[[#All],[Cost Center]:[Client Type]],2,TRUE)</f>
        <v>6</v>
      </c>
      <c r="I845" t="str">
        <f>VLOOKUP(G845,Table4[[#All],[Cost Center]:[Client Type]],3,TRUE)</f>
        <v>Creek</v>
      </c>
      <c r="J845" t="str">
        <f>VLOOKUP(G845,Table4[[#All],[Cost Center]:[Client Type]],5,TRUE)</f>
        <v>Osama Mezayn</v>
      </c>
    </row>
    <row r="846" spans="6:10" x14ac:dyDescent="0.25">
      <c r="F846" t="s">
        <v>97</v>
      </c>
      <c r="G846" s="7" cm="1">
        <f t="array" ref="G846">INT(planned(F846))</f>
        <v>138</v>
      </c>
      <c r="H846">
        <f>VLOOKUP(G846,Table4[[#All],[Cost Center]:[Client Type]],2,TRUE)</f>
        <v>6</v>
      </c>
      <c r="I846" t="str">
        <f>VLOOKUP(G846,Table4[[#All],[Cost Center]:[Client Type]],3,TRUE)</f>
        <v>Creek</v>
      </c>
      <c r="J846" t="str">
        <f>VLOOKUP(G846,Table4[[#All],[Cost Center]:[Client Type]],5,TRUE)</f>
        <v>Osama Mezayn</v>
      </c>
    </row>
    <row r="847" spans="6:10" x14ac:dyDescent="0.25">
      <c r="F847" t="s">
        <v>97</v>
      </c>
      <c r="G847" s="7" cm="1">
        <f t="array" ref="G847">INT(planned(F847))</f>
        <v>138</v>
      </c>
      <c r="H847">
        <f>VLOOKUP(G847,Table4[[#All],[Cost Center]:[Client Type]],2,TRUE)</f>
        <v>6</v>
      </c>
      <c r="I847" t="str">
        <f>VLOOKUP(G847,Table4[[#All],[Cost Center]:[Client Type]],3,TRUE)</f>
        <v>Creek</v>
      </c>
      <c r="J847" t="str">
        <f>VLOOKUP(G847,Table4[[#All],[Cost Center]:[Client Type]],5,TRUE)</f>
        <v>Osama Mezayn</v>
      </c>
    </row>
    <row r="848" spans="6:10" x14ac:dyDescent="0.25">
      <c r="F848" t="s">
        <v>97</v>
      </c>
      <c r="G848" s="7" cm="1">
        <f t="array" ref="G848">INT(planned(F848))</f>
        <v>138</v>
      </c>
      <c r="H848">
        <f>VLOOKUP(G848,Table4[[#All],[Cost Center]:[Client Type]],2,TRUE)</f>
        <v>6</v>
      </c>
      <c r="I848" t="str">
        <f>VLOOKUP(G848,Table4[[#All],[Cost Center]:[Client Type]],3,TRUE)</f>
        <v>Creek</v>
      </c>
      <c r="J848" t="str">
        <f>VLOOKUP(G848,Table4[[#All],[Cost Center]:[Client Type]],5,TRUE)</f>
        <v>Osama Mezayn</v>
      </c>
    </row>
    <row r="849" spans="6:10" x14ac:dyDescent="0.25">
      <c r="F849" t="s">
        <v>97</v>
      </c>
      <c r="G849" s="7" cm="1">
        <f t="array" ref="G849">INT(planned(F849))</f>
        <v>138</v>
      </c>
      <c r="H849">
        <f>VLOOKUP(G849,Table4[[#All],[Cost Center]:[Client Type]],2,TRUE)</f>
        <v>6</v>
      </c>
      <c r="I849" t="str">
        <f>VLOOKUP(G849,Table4[[#All],[Cost Center]:[Client Type]],3,TRUE)</f>
        <v>Creek</v>
      </c>
      <c r="J849" t="str">
        <f>VLOOKUP(G849,Table4[[#All],[Cost Center]:[Client Type]],5,TRUE)</f>
        <v>Osama Mezayn</v>
      </c>
    </row>
    <row r="850" spans="6:10" x14ac:dyDescent="0.25">
      <c r="F850" t="s">
        <v>97</v>
      </c>
      <c r="G850" s="7" cm="1">
        <f t="array" ref="G850">INT(planned(F850))</f>
        <v>138</v>
      </c>
      <c r="H850">
        <f>VLOOKUP(G850,Table4[[#All],[Cost Center]:[Client Type]],2,TRUE)</f>
        <v>6</v>
      </c>
      <c r="I850" t="str">
        <f>VLOOKUP(G850,Table4[[#All],[Cost Center]:[Client Type]],3,TRUE)</f>
        <v>Creek</v>
      </c>
      <c r="J850" t="str">
        <f>VLOOKUP(G850,Table4[[#All],[Cost Center]:[Client Type]],5,TRUE)</f>
        <v>Osama Mezayn</v>
      </c>
    </row>
    <row r="851" spans="6:10" x14ac:dyDescent="0.25">
      <c r="F851" t="s">
        <v>97</v>
      </c>
      <c r="G851" s="7" cm="1">
        <f t="array" ref="G851">INT(planned(F851))</f>
        <v>138</v>
      </c>
      <c r="H851">
        <f>VLOOKUP(G851,Table4[[#All],[Cost Center]:[Client Type]],2,TRUE)</f>
        <v>6</v>
      </c>
      <c r="I851" t="str">
        <f>VLOOKUP(G851,Table4[[#All],[Cost Center]:[Client Type]],3,TRUE)</f>
        <v>Creek</v>
      </c>
      <c r="J851" t="str">
        <f>VLOOKUP(G851,Table4[[#All],[Cost Center]:[Client Type]],5,TRUE)</f>
        <v>Osama Mezayn</v>
      </c>
    </row>
    <row r="852" spans="6:10" x14ac:dyDescent="0.25">
      <c r="F852" t="s">
        <v>97</v>
      </c>
      <c r="G852" s="7" cm="1">
        <f t="array" ref="G852">INT(planned(F852))</f>
        <v>138</v>
      </c>
      <c r="H852">
        <f>VLOOKUP(G852,Table4[[#All],[Cost Center]:[Client Type]],2,TRUE)</f>
        <v>6</v>
      </c>
      <c r="I852" t="str">
        <f>VLOOKUP(G852,Table4[[#All],[Cost Center]:[Client Type]],3,TRUE)</f>
        <v>Creek</v>
      </c>
      <c r="J852" t="str">
        <f>VLOOKUP(G852,Table4[[#All],[Cost Center]:[Client Type]],5,TRUE)</f>
        <v>Osama Mezayn</v>
      </c>
    </row>
    <row r="853" spans="6:10" x14ac:dyDescent="0.25">
      <c r="F853" t="s">
        <v>97</v>
      </c>
      <c r="G853" s="7" cm="1">
        <f t="array" ref="G853">INT(planned(F853))</f>
        <v>138</v>
      </c>
      <c r="H853">
        <f>VLOOKUP(G853,Table4[[#All],[Cost Center]:[Client Type]],2,TRUE)</f>
        <v>6</v>
      </c>
      <c r="I853" t="str">
        <f>VLOOKUP(G853,Table4[[#All],[Cost Center]:[Client Type]],3,TRUE)</f>
        <v>Creek</v>
      </c>
      <c r="J853" t="str">
        <f>VLOOKUP(G853,Table4[[#All],[Cost Center]:[Client Type]],5,TRUE)</f>
        <v>Osama Mezayn</v>
      </c>
    </row>
    <row r="854" spans="6:10" x14ac:dyDescent="0.25">
      <c r="F854" t="s">
        <v>97</v>
      </c>
      <c r="G854" s="7" cm="1">
        <f t="array" ref="G854">INT(planned(F854))</f>
        <v>138</v>
      </c>
      <c r="H854">
        <f>VLOOKUP(G854,Table4[[#All],[Cost Center]:[Client Type]],2,TRUE)</f>
        <v>6</v>
      </c>
      <c r="I854" t="str">
        <f>VLOOKUP(G854,Table4[[#All],[Cost Center]:[Client Type]],3,TRUE)</f>
        <v>Creek</v>
      </c>
      <c r="J854" t="str">
        <f>VLOOKUP(G854,Table4[[#All],[Cost Center]:[Client Type]],5,TRUE)</f>
        <v>Osama Mezayn</v>
      </c>
    </row>
    <row r="855" spans="6:10" x14ac:dyDescent="0.25">
      <c r="F855" t="s">
        <v>97</v>
      </c>
      <c r="G855" s="7" cm="1">
        <f t="array" ref="G855">INT(planned(F855))</f>
        <v>138</v>
      </c>
      <c r="H855">
        <f>VLOOKUP(G855,Table4[[#All],[Cost Center]:[Client Type]],2,TRUE)</f>
        <v>6</v>
      </c>
      <c r="I855" t="str">
        <f>VLOOKUP(G855,Table4[[#All],[Cost Center]:[Client Type]],3,TRUE)</f>
        <v>Creek</v>
      </c>
      <c r="J855" t="str">
        <f>VLOOKUP(G855,Table4[[#All],[Cost Center]:[Client Type]],5,TRUE)</f>
        <v>Osama Mezayn</v>
      </c>
    </row>
    <row r="856" spans="6:10" x14ac:dyDescent="0.25">
      <c r="F856" t="s">
        <v>97</v>
      </c>
      <c r="G856" s="7" cm="1">
        <f t="array" ref="G856">INT(planned(F856))</f>
        <v>138</v>
      </c>
      <c r="H856">
        <f>VLOOKUP(G856,Table4[[#All],[Cost Center]:[Client Type]],2,TRUE)</f>
        <v>6</v>
      </c>
      <c r="I856" t="str">
        <f>VLOOKUP(G856,Table4[[#All],[Cost Center]:[Client Type]],3,TRUE)</f>
        <v>Creek</v>
      </c>
      <c r="J856" t="str">
        <f>VLOOKUP(G856,Table4[[#All],[Cost Center]:[Client Type]],5,TRUE)</f>
        <v>Osama Mezayn</v>
      </c>
    </row>
    <row r="857" spans="6:10" x14ac:dyDescent="0.25">
      <c r="F857" t="s">
        <v>97</v>
      </c>
      <c r="G857" s="7" cm="1">
        <f t="array" ref="G857">INT(planned(F857))</f>
        <v>138</v>
      </c>
      <c r="H857">
        <f>VLOOKUP(G857,Table4[[#All],[Cost Center]:[Client Type]],2,TRUE)</f>
        <v>6</v>
      </c>
      <c r="I857" t="str">
        <f>VLOOKUP(G857,Table4[[#All],[Cost Center]:[Client Type]],3,TRUE)</f>
        <v>Creek</v>
      </c>
      <c r="J857" t="str">
        <f>VLOOKUP(G857,Table4[[#All],[Cost Center]:[Client Type]],5,TRUE)</f>
        <v>Osama Mezayn</v>
      </c>
    </row>
    <row r="858" spans="6:10" x14ac:dyDescent="0.25">
      <c r="F858" t="s">
        <v>97</v>
      </c>
      <c r="G858" s="7" cm="1">
        <f t="array" ref="G858">INT(planned(F858))</f>
        <v>138</v>
      </c>
      <c r="H858">
        <f>VLOOKUP(G858,Table4[[#All],[Cost Center]:[Client Type]],2,TRUE)</f>
        <v>6</v>
      </c>
      <c r="I858" t="str">
        <f>VLOOKUP(G858,Table4[[#All],[Cost Center]:[Client Type]],3,TRUE)</f>
        <v>Creek</v>
      </c>
      <c r="J858" t="str">
        <f>VLOOKUP(G858,Table4[[#All],[Cost Center]:[Client Type]],5,TRUE)</f>
        <v>Osama Mezayn</v>
      </c>
    </row>
    <row r="859" spans="6:10" x14ac:dyDescent="0.25">
      <c r="F859" t="s">
        <v>97</v>
      </c>
      <c r="G859" s="7" cm="1">
        <f t="array" ref="G859">INT(planned(F859))</f>
        <v>138</v>
      </c>
      <c r="H859">
        <f>VLOOKUP(G859,Table4[[#All],[Cost Center]:[Client Type]],2,TRUE)</f>
        <v>6</v>
      </c>
      <c r="I859" t="str">
        <f>VLOOKUP(G859,Table4[[#All],[Cost Center]:[Client Type]],3,TRUE)</f>
        <v>Creek</v>
      </c>
      <c r="J859" t="str">
        <f>VLOOKUP(G859,Table4[[#All],[Cost Center]:[Client Type]],5,TRUE)</f>
        <v>Osama Mezayn</v>
      </c>
    </row>
    <row r="860" spans="6:10" x14ac:dyDescent="0.25">
      <c r="F860" t="s">
        <v>97</v>
      </c>
      <c r="G860" s="7" cm="1">
        <f t="array" ref="G860">INT(planned(F860))</f>
        <v>138</v>
      </c>
      <c r="H860">
        <f>VLOOKUP(G860,Table4[[#All],[Cost Center]:[Client Type]],2,TRUE)</f>
        <v>6</v>
      </c>
      <c r="I860" t="str">
        <f>VLOOKUP(G860,Table4[[#All],[Cost Center]:[Client Type]],3,TRUE)</f>
        <v>Creek</v>
      </c>
      <c r="J860" t="str">
        <f>VLOOKUP(G860,Table4[[#All],[Cost Center]:[Client Type]],5,TRUE)</f>
        <v>Osama Mezayn</v>
      </c>
    </row>
    <row r="861" spans="6:10" x14ac:dyDescent="0.25">
      <c r="F861" t="s">
        <v>97</v>
      </c>
      <c r="G861" s="7" cm="1">
        <f t="array" ref="G861">INT(planned(F861))</f>
        <v>138</v>
      </c>
      <c r="H861">
        <f>VLOOKUP(G861,Table4[[#All],[Cost Center]:[Client Type]],2,TRUE)</f>
        <v>6</v>
      </c>
      <c r="I861" t="str">
        <f>VLOOKUP(G861,Table4[[#All],[Cost Center]:[Client Type]],3,TRUE)</f>
        <v>Creek</v>
      </c>
      <c r="J861" t="str">
        <f>VLOOKUP(G861,Table4[[#All],[Cost Center]:[Client Type]],5,TRUE)</f>
        <v>Osama Mezayn</v>
      </c>
    </row>
    <row r="862" spans="6:10" x14ac:dyDescent="0.25">
      <c r="F862" t="s">
        <v>97</v>
      </c>
      <c r="G862" s="7" cm="1">
        <f t="array" ref="G862">INT(planned(F862))</f>
        <v>138</v>
      </c>
      <c r="H862">
        <f>VLOOKUP(G862,Table4[[#All],[Cost Center]:[Client Type]],2,TRUE)</f>
        <v>6</v>
      </c>
      <c r="I862" t="str">
        <f>VLOOKUP(G862,Table4[[#All],[Cost Center]:[Client Type]],3,TRUE)</f>
        <v>Creek</v>
      </c>
      <c r="J862" t="str">
        <f>VLOOKUP(G862,Table4[[#All],[Cost Center]:[Client Type]],5,TRUE)</f>
        <v>Osama Mezayn</v>
      </c>
    </row>
    <row r="863" spans="6:10" x14ac:dyDescent="0.25">
      <c r="F863" t="s">
        <v>97</v>
      </c>
      <c r="G863" s="7" cm="1">
        <f t="array" ref="G863">INT(planned(F863))</f>
        <v>138</v>
      </c>
      <c r="H863">
        <f>VLOOKUP(G863,Table4[[#All],[Cost Center]:[Client Type]],2,TRUE)</f>
        <v>6</v>
      </c>
      <c r="I863" t="str">
        <f>VLOOKUP(G863,Table4[[#All],[Cost Center]:[Client Type]],3,TRUE)</f>
        <v>Creek</v>
      </c>
      <c r="J863" t="str">
        <f>VLOOKUP(G863,Table4[[#All],[Cost Center]:[Client Type]],5,TRUE)</f>
        <v>Osama Mezayn</v>
      </c>
    </row>
    <row r="864" spans="6:10" x14ac:dyDescent="0.25">
      <c r="F864" t="s">
        <v>97</v>
      </c>
      <c r="G864" s="7" cm="1">
        <f t="array" ref="G864">INT(planned(F864))</f>
        <v>138</v>
      </c>
      <c r="H864">
        <f>VLOOKUP(G864,Table4[[#All],[Cost Center]:[Client Type]],2,TRUE)</f>
        <v>6</v>
      </c>
      <c r="I864" t="str">
        <f>VLOOKUP(G864,Table4[[#All],[Cost Center]:[Client Type]],3,TRUE)</f>
        <v>Creek</v>
      </c>
      <c r="J864" t="str">
        <f>VLOOKUP(G864,Table4[[#All],[Cost Center]:[Client Type]],5,TRUE)</f>
        <v>Osama Mezayn</v>
      </c>
    </row>
    <row r="865" spans="6:10" x14ac:dyDescent="0.25">
      <c r="F865" t="s">
        <v>97</v>
      </c>
      <c r="G865" s="7" cm="1">
        <f t="array" ref="G865">INT(planned(F865))</f>
        <v>138</v>
      </c>
      <c r="H865">
        <f>VLOOKUP(G865,Table4[[#All],[Cost Center]:[Client Type]],2,TRUE)</f>
        <v>6</v>
      </c>
      <c r="I865" t="str">
        <f>VLOOKUP(G865,Table4[[#All],[Cost Center]:[Client Type]],3,TRUE)</f>
        <v>Creek</v>
      </c>
      <c r="J865" t="str">
        <f>VLOOKUP(G865,Table4[[#All],[Cost Center]:[Client Type]],5,TRUE)</f>
        <v>Osama Mezayn</v>
      </c>
    </row>
    <row r="866" spans="6:10" x14ac:dyDescent="0.25">
      <c r="F866" t="s">
        <v>97</v>
      </c>
      <c r="G866" s="7" cm="1">
        <f t="array" ref="G866">INT(planned(F866))</f>
        <v>138</v>
      </c>
      <c r="H866">
        <f>VLOOKUP(G866,Table4[[#All],[Cost Center]:[Client Type]],2,TRUE)</f>
        <v>6</v>
      </c>
      <c r="I866" t="str">
        <f>VLOOKUP(G866,Table4[[#All],[Cost Center]:[Client Type]],3,TRUE)</f>
        <v>Creek</v>
      </c>
      <c r="J866" t="str">
        <f>VLOOKUP(G866,Table4[[#All],[Cost Center]:[Client Type]],5,TRUE)</f>
        <v>Osama Mezayn</v>
      </c>
    </row>
    <row r="867" spans="6:10" x14ac:dyDescent="0.25">
      <c r="F867" t="s">
        <v>97</v>
      </c>
      <c r="G867" s="7" cm="1">
        <f t="array" ref="G867">INT(planned(F867))</f>
        <v>138</v>
      </c>
      <c r="H867">
        <f>VLOOKUP(G867,Table4[[#All],[Cost Center]:[Client Type]],2,TRUE)</f>
        <v>6</v>
      </c>
      <c r="I867" t="str">
        <f>VLOOKUP(G867,Table4[[#All],[Cost Center]:[Client Type]],3,TRUE)</f>
        <v>Creek</v>
      </c>
      <c r="J867" t="str">
        <f>VLOOKUP(G867,Table4[[#All],[Cost Center]:[Client Type]],5,TRUE)</f>
        <v>Osama Mezayn</v>
      </c>
    </row>
    <row r="868" spans="6:10" x14ac:dyDescent="0.25">
      <c r="F868" t="s">
        <v>97</v>
      </c>
      <c r="G868" s="7" cm="1">
        <f t="array" ref="G868">INT(planned(F868))</f>
        <v>138</v>
      </c>
      <c r="H868">
        <f>VLOOKUP(G868,Table4[[#All],[Cost Center]:[Client Type]],2,TRUE)</f>
        <v>6</v>
      </c>
      <c r="I868" t="str">
        <f>VLOOKUP(G868,Table4[[#All],[Cost Center]:[Client Type]],3,TRUE)</f>
        <v>Creek</v>
      </c>
      <c r="J868" t="str">
        <f>VLOOKUP(G868,Table4[[#All],[Cost Center]:[Client Type]],5,TRUE)</f>
        <v>Osama Mezayn</v>
      </c>
    </row>
    <row r="869" spans="6:10" x14ac:dyDescent="0.25">
      <c r="F869" t="s">
        <v>97</v>
      </c>
      <c r="G869" s="7" cm="1">
        <f t="array" ref="G869">INT(planned(F869))</f>
        <v>138</v>
      </c>
      <c r="H869">
        <f>VLOOKUP(G869,Table4[[#All],[Cost Center]:[Client Type]],2,TRUE)</f>
        <v>6</v>
      </c>
      <c r="I869" t="str">
        <f>VLOOKUP(G869,Table4[[#All],[Cost Center]:[Client Type]],3,TRUE)</f>
        <v>Creek</v>
      </c>
      <c r="J869" t="str">
        <f>VLOOKUP(G869,Table4[[#All],[Cost Center]:[Client Type]],5,TRUE)</f>
        <v>Osama Mezayn</v>
      </c>
    </row>
    <row r="870" spans="6:10" x14ac:dyDescent="0.25">
      <c r="F870" t="s">
        <v>97</v>
      </c>
      <c r="G870" s="7" cm="1">
        <f t="array" ref="G870">INT(planned(F870))</f>
        <v>138</v>
      </c>
      <c r="H870">
        <f>VLOOKUP(G870,Table4[[#All],[Cost Center]:[Client Type]],2,TRUE)</f>
        <v>6</v>
      </c>
      <c r="I870" t="str">
        <f>VLOOKUP(G870,Table4[[#All],[Cost Center]:[Client Type]],3,TRUE)</f>
        <v>Creek</v>
      </c>
      <c r="J870" t="str">
        <f>VLOOKUP(G870,Table4[[#All],[Cost Center]:[Client Type]],5,TRUE)</f>
        <v>Osama Mezayn</v>
      </c>
    </row>
    <row r="871" spans="6:10" x14ac:dyDescent="0.25">
      <c r="F871" t="s">
        <v>97</v>
      </c>
      <c r="G871" s="7" cm="1">
        <f t="array" ref="G871">INT(planned(F871))</f>
        <v>138</v>
      </c>
      <c r="H871">
        <f>VLOOKUP(G871,Table4[[#All],[Cost Center]:[Client Type]],2,TRUE)</f>
        <v>6</v>
      </c>
      <c r="I871" t="str">
        <f>VLOOKUP(G871,Table4[[#All],[Cost Center]:[Client Type]],3,TRUE)</f>
        <v>Creek</v>
      </c>
      <c r="J871" t="str">
        <f>VLOOKUP(G871,Table4[[#All],[Cost Center]:[Client Type]],5,TRUE)</f>
        <v>Osama Mezayn</v>
      </c>
    </row>
    <row r="872" spans="6:10" x14ac:dyDescent="0.25">
      <c r="F872" t="s">
        <v>97</v>
      </c>
      <c r="G872" s="7" cm="1">
        <f t="array" ref="G872">INT(planned(F872))</f>
        <v>138</v>
      </c>
      <c r="H872">
        <f>VLOOKUP(G872,Table4[[#All],[Cost Center]:[Client Type]],2,TRUE)</f>
        <v>6</v>
      </c>
      <c r="I872" t="str">
        <f>VLOOKUP(G872,Table4[[#All],[Cost Center]:[Client Type]],3,TRUE)</f>
        <v>Creek</v>
      </c>
      <c r="J872" t="str">
        <f>VLOOKUP(G872,Table4[[#All],[Cost Center]:[Client Type]],5,TRUE)</f>
        <v>Osama Mezayn</v>
      </c>
    </row>
    <row r="873" spans="6:10" x14ac:dyDescent="0.25">
      <c r="F873" t="s">
        <v>97</v>
      </c>
      <c r="G873" s="7" cm="1">
        <f t="array" ref="G873">INT(planned(F873))</f>
        <v>138</v>
      </c>
      <c r="H873">
        <f>VLOOKUP(G873,Table4[[#All],[Cost Center]:[Client Type]],2,TRUE)</f>
        <v>6</v>
      </c>
      <c r="I873" t="str">
        <f>VLOOKUP(G873,Table4[[#All],[Cost Center]:[Client Type]],3,TRUE)</f>
        <v>Creek</v>
      </c>
      <c r="J873" t="str">
        <f>VLOOKUP(G873,Table4[[#All],[Cost Center]:[Client Type]],5,TRUE)</f>
        <v>Osama Mezayn</v>
      </c>
    </row>
    <row r="874" spans="6:10" x14ac:dyDescent="0.25">
      <c r="F874" t="s">
        <v>97</v>
      </c>
      <c r="G874" s="7" cm="1">
        <f t="array" ref="G874">INT(planned(F874))</f>
        <v>138</v>
      </c>
      <c r="H874">
        <f>VLOOKUP(G874,Table4[[#All],[Cost Center]:[Client Type]],2,TRUE)</f>
        <v>6</v>
      </c>
      <c r="I874" t="str">
        <f>VLOOKUP(G874,Table4[[#All],[Cost Center]:[Client Type]],3,TRUE)</f>
        <v>Creek</v>
      </c>
      <c r="J874" t="str">
        <f>VLOOKUP(G874,Table4[[#All],[Cost Center]:[Client Type]],5,TRUE)</f>
        <v>Osama Mezayn</v>
      </c>
    </row>
    <row r="875" spans="6:10" x14ac:dyDescent="0.25">
      <c r="F875" t="s">
        <v>97</v>
      </c>
      <c r="G875" s="7" cm="1">
        <f t="array" ref="G875">INT(planned(F875))</f>
        <v>138</v>
      </c>
      <c r="H875">
        <f>VLOOKUP(G875,Table4[[#All],[Cost Center]:[Client Type]],2,TRUE)</f>
        <v>6</v>
      </c>
      <c r="I875" t="str">
        <f>VLOOKUP(G875,Table4[[#All],[Cost Center]:[Client Type]],3,TRUE)</f>
        <v>Creek</v>
      </c>
      <c r="J875" t="str">
        <f>VLOOKUP(G875,Table4[[#All],[Cost Center]:[Client Type]],5,TRUE)</f>
        <v>Osama Mezayn</v>
      </c>
    </row>
    <row r="876" spans="6:10" x14ac:dyDescent="0.25">
      <c r="F876" t="s">
        <v>97</v>
      </c>
      <c r="G876" s="7" cm="1">
        <f t="array" ref="G876">INT(planned(F876))</f>
        <v>138</v>
      </c>
      <c r="H876">
        <f>VLOOKUP(G876,Table4[[#All],[Cost Center]:[Client Type]],2,TRUE)</f>
        <v>6</v>
      </c>
      <c r="I876" t="str">
        <f>VLOOKUP(G876,Table4[[#All],[Cost Center]:[Client Type]],3,TRUE)</f>
        <v>Creek</v>
      </c>
      <c r="J876" t="str">
        <f>VLOOKUP(G876,Table4[[#All],[Cost Center]:[Client Type]],5,TRUE)</f>
        <v>Osama Mezayn</v>
      </c>
    </row>
    <row r="877" spans="6:10" x14ac:dyDescent="0.25">
      <c r="F877" t="s">
        <v>97</v>
      </c>
      <c r="G877" s="7" cm="1">
        <f t="array" ref="G877">INT(planned(F877))</f>
        <v>138</v>
      </c>
      <c r="H877">
        <f>VLOOKUP(G877,Table4[[#All],[Cost Center]:[Client Type]],2,TRUE)</f>
        <v>6</v>
      </c>
      <c r="I877" t="str">
        <f>VLOOKUP(G877,Table4[[#All],[Cost Center]:[Client Type]],3,TRUE)</f>
        <v>Creek</v>
      </c>
      <c r="J877" t="str">
        <f>VLOOKUP(G877,Table4[[#All],[Cost Center]:[Client Type]],5,TRUE)</f>
        <v>Osama Mezayn</v>
      </c>
    </row>
    <row r="878" spans="6:10" x14ac:dyDescent="0.25">
      <c r="F878" t="s">
        <v>97</v>
      </c>
      <c r="G878" s="7" cm="1">
        <f t="array" ref="G878">INT(planned(F878))</f>
        <v>138</v>
      </c>
      <c r="H878">
        <f>VLOOKUP(G878,Table4[[#All],[Cost Center]:[Client Type]],2,TRUE)</f>
        <v>6</v>
      </c>
      <c r="I878" t="str">
        <f>VLOOKUP(G878,Table4[[#All],[Cost Center]:[Client Type]],3,TRUE)</f>
        <v>Creek</v>
      </c>
      <c r="J878" t="str">
        <f>VLOOKUP(G878,Table4[[#All],[Cost Center]:[Client Type]],5,TRUE)</f>
        <v>Osama Mezayn</v>
      </c>
    </row>
    <row r="879" spans="6:10" x14ac:dyDescent="0.25">
      <c r="F879" t="s">
        <v>97</v>
      </c>
      <c r="G879" s="7" cm="1">
        <f t="array" ref="G879">INT(planned(F879))</f>
        <v>138</v>
      </c>
      <c r="H879">
        <f>VLOOKUP(G879,Table4[[#All],[Cost Center]:[Client Type]],2,TRUE)</f>
        <v>6</v>
      </c>
      <c r="I879" t="str">
        <f>VLOOKUP(G879,Table4[[#All],[Cost Center]:[Client Type]],3,TRUE)</f>
        <v>Creek</v>
      </c>
      <c r="J879" t="str">
        <f>VLOOKUP(G879,Table4[[#All],[Cost Center]:[Client Type]],5,TRUE)</f>
        <v>Osama Mezayn</v>
      </c>
    </row>
    <row r="880" spans="6:10" x14ac:dyDescent="0.25">
      <c r="F880" t="s">
        <v>97</v>
      </c>
      <c r="G880" s="7" cm="1">
        <f t="array" ref="G880">INT(planned(F880))</f>
        <v>138</v>
      </c>
      <c r="H880">
        <f>VLOOKUP(G880,Table4[[#All],[Cost Center]:[Client Type]],2,TRUE)</f>
        <v>6</v>
      </c>
      <c r="I880" t="str">
        <f>VLOOKUP(G880,Table4[[#All],[Cost Center]:[Client Type]],3,TRUE)</f>
        <v>Creek</v>
      </c>
      <c r="J880" t="str">
        <f>VLOOKUP(G880,Table4[[#All],[Cost Center]:[Client Type]],5,TRUE)</f>
        <v>Osama Mezayn</v>
      </c>
    </row>
    <row r="881" spans="6:10" x14ac:dyDescent="0.25">
      <c r="F881" t="s">
        <v>97</v>
      </c>
      <c r="G881" s="7" cm="1">
        <f t="array" ref="G881">INT(planned(F881))</f>
        <v>138</v>
      </c>
      <c r="H881">
        <f>VLOOKUP(G881,Table4[[#All],[Cost Center]:[Client Type]],2,TRUE)</f>
        <v>6</v>
      </c>
      <c r="I881" t="str">
        <f>VLOOKUP(G881,Table4[[#All],[Cost Center]:[Client Type]],3,TRUE)</f>
        <v>Creek</v>
      </c>
      <c r="J881" t="str">
        <f>VLOOKUP(G881,Table4[[#All],[Cost Center]:[Client Type]],5,TRUE)</f>
        <v>Osama Mezayn</v>
      </c>
    </row>
    <row r="882" spans="6:10" x14ac:dyDescent="0.25">
      <c r="F882" t="s">
        <v>97</v>
      </c>
      <c r="G882" s="7" cm="1">
        <f t="array" ref="G882">INT(planned(F882))</f>
        <v>138</v>
      </c>
      <c r="H882">
        <f>VLOOKUP(G882,Table4[[#All],[Cost Center]:[Client Type]],2,TRUE)</f>
        <v>6</v>
      </c>
      <c r="I882" t="str">
        <f>VLOOKUP(G882,Table4[[#All],[Cost Center]:[Client Type]],3,TRUE)</f>
        <v>Creek</v>
      </c>
      <c r="J882" t="str">
        <f>VLOOKUP(G882,Table4[[#All],[Cost Center]:[Client Type]],5,TRUE)</f>
        <v>Osama Mezayn</v>
      </c>
    </row>
    <row r="883" spans="6:10" x14ac:dyDescent="0.25">
      <c r="F883" t="s">
        <v>97</v>
      </c>
      <c r="G883" s="7" cm="1">
        <f t="array" ref="G883">INT(planned(F883))</f>
        <v>138</v>
      </c>
      <c r="H883">
        <f>VLOOKUP(G883,Table4[[#All],[Cost Center]:[Client Type]],2,TRUE)</f>
        <v>6</v>
      </c>
      <c r="I883" t="str">
        <f>VLOOKUP(G883,Table4[[#All],[Cost Center]:[Client Type]],3,TRUE)</f>
        <v>Creek</v>
      </c>
      <c r="J883" t="str">
        <f>VLOOKUP(G883,Table4[[#All],[Cost Center]:[Client Type]],5,TRUE)</f>
        <v>Osama Mezayn</v>
      </c>
    </row>
    <row r="884" spans="6:10" x14ac:dyDescent="0.25">
      <c r="F884" t="s">
        <v>97</v>
      </c>
      <c r="G884" s="7" cm="1">
        <f t="array" ref="G884">INT(planned(F884))</f>
        <v>138</v>
      </c>
      <c r="H884">
        <f>VLOOKUP(G884,Table4[[#All],[Cost Center]:[Client Type]],2,TRUE)</f>
        <v>6</v>
      </c>
      <c r="I884" t="str">
        <f>VLOOKUP(G884,Table4[[#All],[Cost Center]:[Client Type]],3,TRUE)</f>
        <v>Creek</v>
      </c>
      <c r="J884" t="str">
        <f>VLOOKUP(G884,Table4[[#All],[Cost Center]:[Client Type]],5,TRUE)</f>
        <v>Osama Mezayn</v>
      </c>
    </row>
    <row r="885" spans="6:10" x14ac:dyDescent="0.25">
      <c r="F885" t="s">
        <v>97</v>
      </c>
      <c r="G885" s="7" cm="1">
        <f t="array" ref="G885">INT(planned(F885))</f>
        <v>138</v>
      </c>
      <c r="H885">
        <f>VLOOKUP(G885,Table4[[#All],[Cost Center]:[Client Type]],2,TRUE)</f>
        <v>6</v>
      </c>
      <c r="I885" t="str">
        <f>VLOOKUP(G885,Table4[[#All],[Cost Center]:[Client Type]],3,TRUE)</f>
        <v>Creek</v>
      </c>
      <c r="J885" t="str">
        <f>VLOOKUP(G885,Table4[[#All],[Cost Center]:[Client Type]],5,TRUE)</f>
        <v>Osama Mezayn</v>
      </c>
    </row>
    <row r="886" spans="6:10" x14ac:dyDescent="0.25">
      <c r="F886" t="s">
        <v>97</v>
      </c>
      <c r="G886" s="7" cm="1">
        <f t="array" ref="G886">INT(planned(F886))</f>
        <v>138</v>
      </c>
      <c r="H886">
        <f>VLOOKUP(G886,Table4[[#All],[Cost Center]:[Client Type]],2,TRUE)</f>
        <v>6</v>
      </c>
      <c r="I886" t="str">
        <f>VLOOKUP(G886,Table4[[#All],[Cost Center]:[Client Type]],3,TRUE)</f>
        <v>Creek</v>
      </c>
      <c r="J886" t="str">
        <f>VLOOKUP(G886,Table4[[#All],[Cost Center]:[Client Type]],5,TRUE)</f>
        <v>Osama Mezayn</v>
      </c>
    </row>
    <row r="887" spans="6:10" x14ac:dyDescent="0.25">
      <c r="F887" t="s">
        <v>97</v>
      </c>
      <c r="G887" s="7" cm="1">
        <f t="array" ref="G887">INT(planned(F887))</f>
        <v>138</v>
      </c>
      <c r="H887">
        <f>VLOOKUP(G887,Table4[[#All],[Cost Center]:[Client Type]],2,TRUE)</f>
        <v>6</v>
      </c>
      <c r="I887" t="str">
        <f>VLOOKUP(G887,Table4[[#All],[Cost Center]:[Client Type]],3,TRUE)</f>
        <v>Creek</v>
      </c>
      <c r="J887" t="str">
        <f>VLOOKUP(G887,Table4[[#All],[Cost Center]:[Client Type]],5,TRUE)</f>
        <v>Osama Mezayn</v>
      </c>
    </row>
    <row r="888" spans="6:10" x14ac:dyDescent="0.25">
      <c r="F888" t="s">
        <v>97</v>
      </c>
      <c r="G888" s="7" cm="1">
        <f t="array" ref="G888">INT(planned(F888))</f>
        <v>138</v>
      </c>
      <c r="H888">
        <f>VLOOKUP(G888,Table4[[#All],[Cost Center]:[Client Type]],2,TRUE)</f>
        <v>6</v>
      </c>
      <c r="I888" t="str">
        <f>VLOOKUP(G888,Table4[[#All],[Cost Center]:[Client Type]],3,TRUE)</f>
        <v>Creek</v>
      </c>
      <c r="J888" t="str">
        <f>VLOOKUP(G888,Table4[[#All],[Cost Center]:[Client Type]],5,TRUE)</f>
        <v>Osama Mezayn</v>
      </c>
    </row>
    <row r="889" spans="6:10" x14ac:dyDescent="0.25">
      <c r="F889" t="s">
        <v>97</v>
      </c>
      <c r="G889" s="7" cm="1">
        <f t="array" ref="G889">INT(planned(F889))</f>
        <v>138</v>
      </c>
      <c r="H889">
        <f>VLOOKUP(G889,Table4[[#All],[Cost Center]:[Client Type]],2,TRUE)</f>
        <v>6</v>
      </c>
      <c r="I889" t="str">
        <f>VLOOKUP(G889,Table4[[#All],[Cost Center]:[Client Type]],3,TRUE)</f>
        <v>Creek</v>
      </c>
      <c r="J889" t="str">
        <f>VLOOKUP(G889,Table4[[#All],[Cost Center]:[Client Type]],5,TRUE)</f>
        <v>Osama Mezayn</v>
      </c>
    </row>
    <row r="890" spans="6:10" x14ac:dyDescent="0.25">
      <c r="F890" t="s">
        <v>97</v>
      </c>
      <c r="G890" s="7" cm="1">
        <f t="array" ref="G890">INT(planned(F890))</f>
        <v>138</v>
      </c>
      <c r="H890">
        <f>VLOOKUP(G890,Table4[[#All],[Cost Center]:[Client Type]],2,TRUE)</f>
        <v>6</v>
      </c>
      <c r="I890" t="str">
        <f>VLOOKUP(G890,Table4[[#All],[Cost Center]:[Client Type]],3,TRUE)</f>
        <v>Creek</v>
      </c>
      <c r="J890" t="str">
        <f>VLOOKUP(G890,Table4[[#All],[Cost Center]:[Client Type]],5,TRUE)</f>
        <v>Osama Mezayn</v>
      </c>
    </row>
    <row r="891" spans="6:10" x14ac:dyDescent="0.25">
      <c r="F891" t="s">
        <v>97</v>
      </c>
      <c r="G891" s="7" cm="1">
        <f t="array" ref="G891">INT(planned(F891))</f>
        <v>138</v>
      </c>
      <c r="H891">
        <f>VLOOKUP(G891,Table4[[#All],[Cost Center]:[Client Type]],2,TRUE)</f>
        <v>6</v>
      </c>
      <c r="I891" t="str">
        <f>VLOOKUP(G891,Table4[[#All],[Cost Center]:[Client Type]],3,TRUE)</f>
        <v>Creek</v>
      </c>
      <c r="J891" t="str">
        <f>VLOOKUP(G891,Table4[[#All],[Cost Center]:[Client Type]],5,TRUE)</f>
        <v>Osama Mezayn</v>
      </c>
    </row>
    <row r="892" spans="6:10" x14ac:dyDescent="0.25">
      <c r="F892" t="s">
        <v>97</v>
      </c>
      <c r="G892" s="7" cm="1">
        <f t="array" ref="G892">INT(planned(F892))</f>
        <v>138</v>
      </c>
      <c r="H892">
        <f>VLOOKUP(G892,Table4[[#All],[Cost Center]:[Client Type]],2,TRUE)</f>
        <v>6</v>
      </c>
      <c r="I892" t="str">
        <f>VLOOKUP(G892,Table4[[#All],[Cost Center]:[Client Type]],3,TRUE)</f>
        <v>Creek</v>
      </c>
      <c r="J892" t="str">
        <f>VLOOKUP(G892,Table4[[#All],[Cost Center]:[Client Type]],5,TRUE)</f>
        <v>Osama Mezayn</v>
      </c>
    </row>
    <row r="893" spans="6:10" x14ac:dyDescent="0.25">
      <c r="F893" t="s">
        <v>97</v>
      </c>
      <c r="G893" s="7" cm="1">
        <f t="array" ref="G893">INT(planned(F893))</f>
        <v>138</v>
      </c>
      <c r="H893">
        <f>VLOOKUP(G893,Table4[[#All],[Cost Center]:[Client Type]],2,TRUE)</f>
        <v>6</v>
      </c>
      <c r="I893" t="str">
        <f>VLOOKUP(G893,Table4[[#All],[Cost Center]:[Client Type]],3,TRUE)</f>
        <v>Creek</v>
      </c>
      <c r="J893" t="str">
        <f>VLOOKUP(G893,Table4[[#All],[Cost Center]:[Client Type]],5,TRUE)</f>
        <v>Osama Mezayn</v>
      </c>
    </row>
    <row r="894" spans="6:10" x14ac:dyDescent="0.25">
      <c r="F894" t="s">
        <v>97</v>
      </c>
      <c r="G894" s="7" cm="1">
        <f t="array" ref="G894">INT(planned(F894))</f>
        <v>138</v>
      </c>
      <c r="H894">
        <f>VLOOKUP(G894,Table4[[#All],[Cost Center]:[Client Type]],2,TRUE)</f>
        <v>6</v>
      </c>
      <c r="I894" t="str">
        <f>VLOOKUP(G894,Table4[[#All],[Cost Center]:[Client Type]],3,TRUE)</f>
        <v>Creek</v>
      </c>
      <c r="J894" t="str">
        <f>VLOOKUP(G894,Table4[[#All],[Cost Center]:[Client Type]],5,TRUE)</f>
        <v>Osama Mezayn</v>
      </c>
    </row>
    <row r="895" spans="6:10" x14ac:dyDescent="0.25">
      <c r="F895" t="s">
        <v>97</v>
      </c>
      <c r="G895" s="7" cm="1">
        <f t="array" ref="G895">INT(planned(F895))</f>
        <v>138</v>
      </c>
      <c r="H895">
        <f>VLOOKUP(G895,Table4[[#All],[Cost Center]:[Client Type]],2,TRUE)</f>
        <v>6</v>
      </c>
      <c r="I895" t="str">
        <f>VLOOKUP(G895,Table4[[#All],[Cost Center]:[Client Type]],3,TRUE)</f>
        <v>Creek</v>
      </c>
      <c r="J895" t="str">
        <f>VLOOKUP(G895,Table4[[#All],[Cost Center]:[Client Type]],5,TRUE)</f>
        <v>Osama Mezayn</v>
      </c>
    </row>
    <row r="896" spans="6:10" x14ac:dyDescent="0.25">
      <c r="F896" t="s">
        <v>97</v>
      </c>
      <c r="G896" s="7" cm="1">
        <f t="array" ref="G896">INT(planned(F896))</f>
        <v>138</v>
      </c>
      <c r="H896">
        <f>VLOOKUP(G896,Table4[[#All],[Cost Center]:[Client Type]],2,TRUE)</f>
        <v>6</v>
      </c>
      <c r="I896" t="str">
        <f>VLOOKUP(G896,Table4[[#All],[Cost Center]:[Client Type]],3,TRUE)</f>
        <v>Creek</v>
      </c>
      <c r="J896" t="str">
        <f>VLOOKUP(G896,Table4[[#All],[Cost Center]:[Client Type]],5,TRUE)</f>
        <v>Osama Mezayn</v>
      </c>
    </row>
    <row r="897" spans="6:10" x14ac:dyDescent="0.25">
      <c r="F897" t="s">
        <v>97</v>
      </c>
      <c r="G897" s="7" cm="1">
        <f t="array" ref="G897">INT(planned(F897))</f>
        <v>138</v>
      </c>
      <c r="H897">
        <f>VLOOKUP(G897,Table4[[#All],[Cost Center]:[Client Type]],2,TRUE)</f>
        <v>6</v>
      </c>
      <c r="I897" t="str">
        <f>VLOOKUP(G897,Table4[[#All],[Cost Center]:[Client Type]],3,TRUE)</f>
        <v>Creek</v>
      </c>
      <c r="J897" t="str">
        <f>VLOOKUP(G897,Table4[[#All],[Cost Center]:[Client Type]],5,TRUE)</f>
        <v>Osama Mezayn</v>
      </c>
    </row>
    <row r="898" spans="6:10" x14ac:dyDescent="0.25">
      <c r="F898" t="s">
        <v>97</v>
      </c>
      <c r="G898" s="7" cm="1">
        <f t="array" ref="G898">INT(planned(F898))</f>
        <v>138</v>
      </c>
      <c r="H898">
        <f>VLOOKUP(G898,Table4[[#All],[Cost Center]:[Client Type]],2,TRUE)</f>
        <v>6</v>
      </c>
      <c r="I898" t="str">
        <f>VLOOKUP(G898,Table4[[#All],[Cost Center]:[Client Type]],3,TRUE)</f>
        <v>Creek</v>
      </c>
      <c r="J898" t="str">
        <f>VLOOKUP(G898,Table4[[#All],[Cost Center]:[Client Type]],5,TRUE)</f>
        <v>Osama Mezayn</v>
      </c>
    </row>
    <row r="899" spans="6:10" x14ac:dyDescent="0.25">
      <c r="F899" t="s">
        <v>97</v>
      </c>
      <c r="G899" s="7" cm="1">
        <f t="array" ref="G899">INT(planned(F899))</f>
        <v>138</v>
      </c>
      <c r="H899">
        <f>VLOOKUP(G899,Table4[[#All],[Cost Center]:[Client Type]],2,TRUE)</f>
        <v>6</v>
      </c>
      <c r="I899" t="str">
        <f>VLOOKUP(G899,Table4[[#All],[Cost Center]:[Client Type]],3,TRUE)</f>
        <v>Creek</v>
      </c>
      <c r="J899" t="str">
        <f>VLOOKUP(G899,Table4[[#All],[Cost Center]:[Client Type]],5,TRUE)</f>
        <v>Osama Mezayn</v>
      </c>
    </row>
    <row r="900" spans="6:10" x14ac:dyDescent="0.25">
      <c r="F900" t="s">
        <v>97</v>
      </c>
      <c r="G900" s="7" cm="1">
        <f t="array" ref="G900">INT(planned(F900))</f>
        <v>138</v>
      </c>
      <c r="H900">
        <f>VLOOKUP(G900,Table4[[#All],[Cost Center]:[Client Type]],2,TRUE)</f>
        <v>6</v>
      </c>
      <c r="I900" t="str">
        <f>VLOOKUP(G900,Table4[[#All],[Cost Center]:[Client Type]],3,TRUE)</f>
        <v>Creek</v>
      </c>
      <c r="J900" t="str">
        <f>VLOOKUP(G900,Table4[[#All],[Cost Center]:[Client Type]],5,TRUE)</f>
        <v>Osama Mezayn</v>
      </c>
    </row>
    <row r="901" spans="6:10" x14ac:dyDescent="0.25">
      <c r="F901" t="s">
        <v>97</v>
      </c>
      <c r="G901" s="7" cm="1">
        <f t="array" ref="G901">INT(planned(F901))</f>
        <v>138</v>
      </c>
      <c r="H901">
        <f>VLOOKUP(G901,Table4[[#All],[Cost Center]:[Client Type]],2,TRUE)</f>
        <v>6</v>
      </c>
      <c r="I901" t="str">
        <f>VLOOKUP(G901,Table4[[#All],[Cost Center]:[Client Type]],3,TRUE)</f>
        <v>Creek</v>
      </c>
      <c r="J901" t="str">
        <f>VLOOKUP(G901,Table4[[#All],[Cost Center]:[Client Type]],5,TRUE)</f>
        <v>Osama Mezayn</v>
      </c>
    </row>
    <row r="902" spans="6:10" x14ac:dyDescent="0.25">
      <c r="F902" t="s">
        <v>97</v>
      </c>
      <c r="G902" s="7" cm="1">
        <f t="array" ref="G902">INT(planned(F902))</f>
        <v>138</v>
      </c>
      <c r="H902">
        <f>VLOOKUP(G902,Table4[[#All],[Cost Center]:[Client Type]],2,TRUE)</f>
        <v>6</v>
      </c>
      <c r="I902" t="str">
        <f>VLOOKUP(G902,Table4[[#All],[Cost Center]:[Client Type]],3,TRUE)</f>
        <v>Creek</v>
      </c>
      <c r="J902" t="str">
        <f>VLOOKUP(G902,Table4[[#All],[Cost Center]:[Client Type]],5,TRUE)</f>
        <v>Osama Mezayn</v>
      </c>
    </row>
    <row r="903" spans="6:10" x14ac:dyDescent="0.25">
      <c r="F903" t="s">
        <v>97</v>
      </c>
      <c r="G903" s="7" cm="1">
        <f t="array" ref="G903">INT(planned(F903))</f>
        <v>138</v>
      </c>
      <c r="H903">
        <f>VLOOKUP(G903,Table4[[#All],[Cost Center]:[Client Type]],2,TRUE)</f>
        <v>6</v>
      </c>
      <c r="I903" t="str">
        <f>VLOOKUP(G903,Table4[[#All],[Cost Center]:[Client Type]],3,TRUE)</f>
        <v>Creek</v>
      </c>
      <c r="J903" t="str">
        <f>VLOOKUP(G903,Table4[[#All],[Cost Center]:[Client Type]],5,TRUE)</f>
        <v>Osama Mezayn</v>
      </c>
    </row>
    <row r="904" spans="6:10" x14ac:dyDescent="0.25">
      <c r="F904" t="s">
        <v>97</v>
      </c>
      <c r="G904" s="7" cm="1">
        <f t="array" ref="G904">INT(planned(F904))</f>
        <v>138</v>
      </c>
      <c r="H904">
        <f>VLOOKUP(G904,Table4[[#All],[Cost Center]:[Client Type]],2,TRUE)</f>
        <v>6</v>
      </c>
      <c r="I904" t="str">
        <f>VLOOKUP(G904,Table4[[#All],[Cost Center]:[Client Type]],3,TRUE)</f>
        <v>Creek</v>
      </c>
      <c r="J904" t="str">
        <f>VLOOKUP(G904,Table4[[#All],[Cost Center]:[Client Type]],5,TRUE)</f>
        <v>Osama Mezayn</v>
      </c>
    </row>
    <row r="905" spans="6:10" x14ac:dyDescent="0.25">
      <c r="F905" t="s">
        <v>97</v>
      </c>
      <c r="G905" s="7" cm="1">
        <f t="array" ref="G905">INT(planned(F905))</f>
        <v>138</v>
      </c>
      <c r="H905">
        <f>VLOOKUP(G905,Table4[[#All],[Cost Center]:[Client Type]],2,TRUE)</f>
        <v>6</v>
      </c>
      <c r="I905" t="str">
        <f>VLOOKUP(G905,Table4[[#All],[Cost Center]:[Client Type]],3,TRUE)</f>
        <v>Creek</v>
      </c>
      <c r="J905" t="str">
        <f>VLOOKUP(G905,Table4[[#All],[Cost Center]:[Client Type]],5,TRUE)</f>
        <v>Osama Mezayn</v>
      </c>
    </row>
    <row r="906" spans="6:10" x14ac:dyDescent="0.25">
      <c r="F906" t="s">
        <v>97</v>
      </c>
      <c r="G906" s="7" cm="1">
        <f t="array" ref="G906">INT(planned(F906))</f>
        <v>138</v>
      </c>
      <c r="H906">
        <f>VLOOKUP(G906,Table4[[#All],[Cost Center]:[Client Type]],2,TRUE)</f>
        <v>6</v>
      </c>
      <c r="I906" t="str">
        <f>VLOOKUP(G906,Table4[[#All],[Cost Center]:[Client Type]],3,TRUE)</f>
        <v>Creek</v>
      </c>
      <c r="J906" t="str">
        <f>VLOOKUP(G906,Table4[[#All],[Cost Center]:[Client Type]],5,TRUE)</f>
        <v>Osama Mezayn</v>
      </c>
    </row>
    <row r="907" spans="6:10" x14ac:dyDescent="0.25">
      <c r="F907" t="s">
        <v>97</v>
      </c>
      <c r="G907" s="7" cm="1">
        <f t="array" ref="G907">INT(planned(F907))</f>
        <v>138</v>
      </c>
      <c r="H907">
        <f>VLOOKUP(G907,Table4[[#All],[Cost Center]:[Client Type]],2,TRUE)</f>
        <v>6</v>
      </c>
      <c r="I907" t="str">
        <f>VLOOKUP(G907,Table4[[#All],[Cost Center]:[Client Type]],3,TRUE)</f>
        <v>Creek</v>
      </c>
      <c r="J907" t="str">
        <f>VLOOKUP(G907,Table4[[#All],[Cost Center]:[Client Type]],5,TRUE)</f>
        <v>Osama Mezayn</v>
      </c>
    </row>
    <row r="908" spans="6:10" x14ac:dyDescent="0.25">
      <c r="F908" t="s">
        <v>97</v>
      </c>
      <c r="G908" s="7" cm="1">
        <f t="array" ref="G908">INT(planned(F908))</f>
        <v>138</v>
      </c>
      <c r="H908">
        <f>VLOOKUP(G908,Table4[[#All],[Cost Center]:[Client Type]],2,TRUE)</f>
        <v>6</v>
      </c>
      <c r="I908" t="str">
        <f>VLOOKUP(G908,Table4[[#All],[Cost Center]:[Client Type]],3,TRUE)</f>
        <v>Creek</v>
      </c>
      <c r="J908" t="str">
        <f>VLOOKUP(G908,Table4[[#All],[Cost Center]:[Client Type]],5,TRUE)</f>
        <v>Osama Mezayn</v>
      </c>
    </row>
    <row r="909" spans="6:10" x14ac:dyDescent="0.25">
      <c r="F909" t="s">
        <v>97</v>
      </c>
      <c r="G909" s="7" cm="1">
        <f t="array" ref="G909">INT(planned(F909))</f>
        <v>138</v>
      </c>
      <c r="H909">
        <f>VLOOKUP(G909,Table4[[#All],[Cost Center]:[Client Type]],2,TRUE)</f>
        <v>6</v>
      </c>
      <c r="I909" t="str">
        <f>VLOOKUP(G909,Table4[[#All],[Cost Center]:[Client Type]],3,TRUE)</f>
        <v>Creek</v>
      </c>
      <c r="J909" t="str">
        <f>VLOOKUP(G909,Table4[[#All],[Cost Center]:[Client Type]],5,TRUE)</f>
        <v>Osama Mezayn</v>
      </c>
    </row>
    <row r="910" spans="6:10" x14ac:dyDescent="0.25">
      <c r="F910" t="s">
        <v>97</v>
      </c>
      <c r="G910" s="7" cm="1">
        <f t="array" ref="G910">INT(planned(F910))</f>
        <v>138</v>
      </c>
      <c r="H910">
        <f>VLOOKUP(G910,Table4[[#All],[Cost Center]:[Client Type]],2,TRUE)</f>
        <v>6</v>
      </c>
      <c r="I910" t="str">
        <f>VLOOKUP(G910,Table4[[#All],[Cost Center]:[Client Type]],3,TRUE)</f>
        <v>Creek</v>
      </c>
      <c r="J910" t="str">
        <f>VLOOKUP(G910,Table4[[#All],[Cost Center]:[Client Type]],5,TRUE)</f>
        <v>Osama Mezayn</v>
      </c>
    </row>
    <row r="911" spans="6:10" x14ac:dyDescent="0.25">
      <c r="F911" t="s">
        <v>97</v>
      </c>
      <c r="G911" s="7" cm="1">
        <f t="array" ref="G911">INT(planned(F911))</f>
        <v>138</v>
      </c>
      <c r="H911">
        <f>VLOOKUP(G911,Table4[[#All],[Cost Center]:[Client Type]],2,TRUE)</f>
        <v>6</v>
      </c>
      <c r="I911" t="str">
        <f>VLOOKUP(G911,Table4[[#All],[Cost Center]:[Client Type]],3,TRUE)</f>
        <v>Creek</v>
      </c>
      <c r="J911" t="str">
        <f>VLOOKUP(G911,Table4[[#All],[Cost Center]:[Client Type]],5,TRUE)</f>
        <v>Osama Mezayn</v>
      </c>
    </row>
    <row r="912" spans="6:10" x14ac:dyDescent="0.25">
      <c r="F912" t="s">
        <v>97</v>
      </c>
      <c r="G912" s="7" cm="1">
        <f t="array" ref="G912">INT(planned(F912))</f>
        <v>138</v>
      </c>
      <c r="H912">
        <f>VLOOKUP(G912,Table4[[#All],[Cost Center]:[Client Type]],2,TRUE)</f>
        <v>6</v>
      </c>
      <c r="I912" t="str">
        <f>VLOOKUP(G912,Table4[[#All],[Cost Center]:[Client Type]],3,TRUE)</f>
        <v>Creek</v>
      </c>
      <c r="J912" t="str">
        <f>VLOOKUP(G912,Table4[[#All],[Cost Center]:[Client Type]],5,TRUE)</f>
        <v>Osama Mezayn</v>
      </c>
    </row>
    <row r="913" spans="6:10" x14ac:dyDescent="0.25">
      <c r="F913" t="s">
        <v>97</v>
      </c>
      <c r="G913" s="7" cm="1">
        <f t="array" ref="G913">INT(planned(F913))</f>
        <v>138</v>
      </c>
      <c r="H913">
        <f>VLOOKUP(G913,Table4[[#All],[Cost Center]:[Client Type]],2,TRUE)</f>
        <v>6</v>
      </c>
      <c r="I913" t="str">
        <f>VLOOKUP(G913,Table4[[#All],[Cost Center]:[Client Type]],3,TRUE)</f>
        <v>Creek</v>
      </c>
      <c r="J913" t="str">
        <f>VLOOKUP(G913,Table4[[#All],[Cost Center]:[Client Type]],5,TRUE)</f>
        <v>Osama Mezayn</v>
      </c>
    </row>
    <row r="914" spans="6:10" x14ac:dyDescent="0.25">
      <c r="F914" t="s">
        <v>97</v>
      </c>
      <c r="G914" s="7" cm="1">
        <f t="array" ref="G914">INT(planned(F914))</f>
        <v>138</v>
      </c>
      <c r="H914">
        <f>VLOOKUP(G914,Table4[[#All],[Cost Center]:[Client Type]],2,TRUE)</f>
        <v>6</v>
      </c>
      <c r="I914" t="str">
        <f>VLOOKUP(G914,Table4[[#All],[Cost Center]:[Client Type]],3,TRUE)</f>
        <v>Creek</v>
      </c>
      <c r="J914" t="str">
        <f>VLOOKUP(G914,Table4[[#All],[Cost Center]:[Client Type]],5,TRUE)</f>
        <v>Osama Mezayn</v>
      </c>
    </row>
    <row r="915" spans="6:10" x14ac:dyDescent="0.25">
      <c r="F915" t="s">
        <v>97</v>
      </c>
      <c r="G915" s="7" cm="1">
        <f t="array" ref="G915">INT(planned(F915))</f>
        <v>138</v>
      </c>
      <c r="H915">
        <f>VLOOKUP(G915,Table4[[#All],[Cost Center]:[Client Type]],2,TRUE)</f>
        <v>6</v>
      </c>
      <c r="I915" t="str">
        <f>VLOOKUP(G915,Table4[[#All],[Cost Center]:[Client Type]],3,TRUE)</f>
        <v>Creek</v>
      </c>
      <c r="J915" t="str">
        <f>VLOOKUP(G915,Table4[[#All],[Cost Center]:[Client Type]],5,TRUE)</f>
        <v>Osama Mezayn</v>
      </c>
    </row>
    <row r="916" spans="6:10" x14ac:dyDescent="0.25">
      <c r="F916" t="s">
        <v>97</v>
      </c>
      <c r="G916" s="7" cm="1">
        <f t="array" ref="G916">INT(planned(F916))</f>
        <v>138</v>
      </c>
      <c r="H916">
        <f>VLOOKUP(G916,Table4[[#All],[Cost Center]:[Client Type]],2,TRUE)</f>
        <v>6</v>
      </c>
      <c r="I916" t="str">
        <f>VLOOKUP(G916,Table4[[#All],[Cost Center]:[Client Type]],3,TRUE)</f>
        <v>Creek</v>
      </c>
      <c r="J916" t="str">
        <f>VLOOKUP(G916,Table4[[#All],[Cost Center]:[Client Type]],5,TRUE)</f>
        <v>Osama Mezayn</v>
      </c>
    </row>
    <row r="917" spans="6:10" x14ac:dyDescent="0.25">
      <c r="F917" t="s">
        <v>97</v>
      </c>
      <c r="G917" s="7" cm="1">
        <f t="array" ref="G917">INT(planned(F917))</f>
        <v>138</v>
      </c>
      <c r="H917">
        <f>VLOOKUP(G917,Table4[[#All],[Cost Center]:[Client Type]],2,TRUE)</f>
        <v>6</v>
      </c>
      <c r="I917" t="str">
        <f>VLOOKUP(G917,Table4[[#All],[Cost Center]:[Client Type]],3,TRUE)</f>
        <v>Creek</v>
      </c>
      <c r="J917" t="str">
        <f>VLOOKUP(G917,Table4[[#All],[Cost Center]:[Client Type]],5,TRUE)</f>
        <v>Osama Mezayn</v>
      </c>
    </row>
    <row r="918" spans="6:10" x14ac:dyDescent="0.25">
      <c r="F918" t="s">
        <v>97</v>
      </c>
      <c r="G918" s="7" cm="1">
        <f t="array" ref="G918">INT(planned(F918))</f>
        <v>138</v>
      </c>
      <c r="H918">
        <f>VLOOKUP(G918,Table4[[#All],[Cost Center]:[Client Type]],2,TRUE)</f>
        <v>6</v>
      </c>
      <c r="I918" t="str">
        <f>VLOOKUP(G918,Table4[[#All],[Cost Center]:[Client Type]],3,TRUE)</f>
        <v>Creek</v>
      </c>
      <c r="J918" t="str">
        <f>VLOOKUP(G918,Table4[[#All],[Cost Center]:[Client Type]],5,TRUE)</f>
        <v>Osama Mezayn</v>
      </c>
    </row>
    <row r="919" spans="6:10" x14ac:dyDescent="0.25">
      <c r="F919" t="s">
        <v>97</v>
      </c>
      <c r="G919" s="7" cm="1">
        <f t="array" ref="G919">INT(planned(F919))</f>
        <v>138</v>
      </c>
      <c r="H919">
        <f>VLOOKUP(G919,Table4[[#All],[Cost Center]:[Client Type]],2,TRUE)</f>
        <v>6</v>
      </c>
      <c r="I919" t="str">
        <f>VLOOKUP(G919,Table4[[#All],[Cost Center]:[Client Type]],3,TRUE)</f>
        <v>Creek</v>
      </c>
      <c r="J919" t="str">
        <f>VLOOKUP(G919,Table4[[#All],[Cost Center]:[Client Type]],5,TRUE)</f>
        <v>Osama Mezayn</v>
      </c>
    </row>
    <row r="920" spans="6:10" x14ac:dyDescent="0.25">
      <c r="F920" t="s">
        <v>97</v>
      </c>
      <c r="G920" s="7" cm="1">
        <f t="array" ref="G920">INT(planned(F920))</f>
        <v>138</v>
      </c>
      <c r="H920">
        <f>VLOOKUP(G920,Table4[[#All],[Cost Center]:[Client Type]],2,TRUE)</f>
        <v>6</v>
      </c>
      <c r="I920" t="str">
        <f>VLOOKUP(G920,Table4[[#All],[Cost Center]:[Client Type]],3,TRUE)</f>
        <v>Creek</v>
      </c>
      <c r="J920" t="str">
        <f>VLOOKUP(G920,Table4[[#All],[Cost Center]:[Client Type]],5,TRUE)</f>
        <v>Osama Mezayn</v>
      </c>
    </row>
    <row r="921" spans="6:10" x14ac:dyDescent="0.25">
      <c r="F921" t="s">
        <v>97</v>
      </c>
      <c r="G921" s="7" cm="1">
        <f t="array" ref="G921">INT(planned(F921))</f>
        <v>138</v>
      </c>
      <c r="H921">
        <f>VLOOKUP(G921,Table4[[#All],[Cost Center]:[Client Type]],2,TRUE)</f>
        <v>6</v>
      </c>
      <c r="I921" t="str">
        <f>VLOOKUP(G921,Table4[[#All],[Cost Center]:[Client Type]],3,TRUE)</f>
        <v>Creek</v>
      </c>
      <c r="J921" t="str">
        <f>VLOOKUP(G921,Table4[[#All],[Cost Center]:[Client Type]],5,TRUE)</f>
        <v>Osama Mezayn</v>
      </c>
    </row>
    <row r="922" spans="6:10" x14ac:dyDescent="0.25">
      <c r="F922" t="s">
        <v>97</v>
      </c>
      <c r="G922" s="7" cm="1">
        <f t="array" ref="G922">INT(planned(F922))</f>
        <v>138</v>
      </c>
      <c r="H922">
        <f>VLOOKUP(G922,Table4[[#All],[Cost Center]:[Client Type]],2,TRUE)</f>
        <v>6</v>
      </c>
      <c r="I922" t="str">
        <f>VLOOKUP(G922,Table4[[#All],[Cost Center]:[Client Type]],3,TRUE)</f>
        <v>Creek</v>
      </c>
      <c r="J922" t="str">
        <f>VLOOKUP(G922,Table4[[#All],[Cost Center]:[Client Type]],5,TRUE)</f>
        <v>Osama Mezayn</v>
      </c>
    </row>
    <row r="923" spans="6:10" x14ac:dyDescent="0.25">
      <c r="F923" t="s">
        <v>97</v>
      </c>
      <c r="G923" s="7" cm="1">
        <f t="array" ref="G923">INT(planned(F923))</f>
        <v>138</v>
      </c>
      <c r="H923">
        <f>VLOOKUP(G923,Table4[[#All],[Cost Center]:[Client Type]],2,TRUE)</f>
        <v>6</v>
      </c>
      <c r="I923" t="str">
        <f>VLOOKUP(G923,Table4[[#All],[Cost Center]:[Client Type]],3,TRUE)</f>
        <v>Creek</v>
      </c>
      <c r="J923" t="str">
        <f>VLOOKUP(G923,Table4[[#All],[Cost Center]:[Client Type]],5,TRUE)</f>
        <v>Osama Mezayn</v>
      </c>
    </row>
    <row r="924" spans="6:10" x14ac:dyDescent="0.25">
      <c r="F924" t="s">
        <v>97</v>
      </c>
      <c r="G924" s="7" cm="1">
        <f t="array" ref="G924">INT(planned(F924))</f>
        <v>138</v>
      </c>
      <c r="H924">
        <f>VLOOKUP(G924,Table4[[#All],[Cost Center]:[Client Type]],2,TRUE)</f>
        <v>6</v>
      </c>
      <c r="I924" t="str">
        <f>VLOOKUP(G924,Table4[[#All],[Cost Center]:[Client Type]],3,TRUE)</f>
        <v>Creek</v>
      </c>
      <c r="J924" t="str">
        <f>VLOOKUP(G924,Table4[[#All],[Cost Center]:[Client Type]],5,TRUE)</f>
        <v>Osama Mezayn</v>
      </c>
    </row>
    <row r="925" spans="6:10" x14ac:dyDescent="0.25">
      <c r="F925" t="s">
        <v>97</v>
      </c>
      <c r="G925" s="7" cm="1">
        <f t="array" ref="G925">INT(planned(F925))</f>
        <v>138</v>
      </c>
      <c r="H925">
        <f>VLOOKUP(G925,Table4[[#All],[Cost Center]:[Client Type]],2,TRUE)</f>
        <v>6</v>
      </c>
      <c r="I925" t="str">
        <f>VLOOKUP(G925,Table4[[#All],[Cost Center]:[Client Type]],3,TRUE)</f>
        <v>Creek</v>
      </c>
      <c r="J925" t="str">
        <f>VLOOKUP(G925,Table4[[#All],[Cost Center]:[Client Type]],5,TRUE)</f>
        <v>Osama Mezayn</v>
      </c>
    </row>
    <row r="926" spans="6:10" x14ac:dyDescent="0.25">
      <c r="F926" t="s">
        <v>97</v>
      </c>
      <c r="G926" s="7" cm="1">
        <f t="array" ref="G926">INT(planned(F926))</f>
        <v>138</v>
      </c>
      <c r="H926">
        <f>VLOOKUP(G926,Table4[[#All],[Cost Center]:[Client Type]],2,TRUE)</f>
        <v>6</v>
      </c>
      <c r="I926" t="str">
        <f>VLOOKUP(G926,Table4[[#All],[Cost Center]:[Client Type]],3,TRUE)</f>
        <v>Creek</v>
      </c>
      <c r="J926" t="str">
        <f>VLOOKUP(G926,Table4[[#All],[Cost Center]:[Client Type]],5,TRUE)</f>
        <v>Osama Mezayn</v>
      </c>
    </row>
    <row r="927" spans="6:10" x14ac:dyDescent="0.25">
      <c r="F927" t="s">
        <v>97</v>
      </c>
      <c r="G927" s="7" cm="1">
        <f t="array" ref="G927">INT(planned(F927))</f>
        <v>138</v>
      </c>
      <c r="H927">
        <f>VLOOKUP(G927,Table4[[#All],[Cost Center]:[Client Type]],2,TRUE)</f>
        <v>6</v>
      </c>
      <c r="I927" t="str">
        <f>VLOOKUP(G927,Table4[[#All],[Cost Center]:[Client Type]],3,TRUE)</f>
        <v>Creek</v>
      </c>
      <c r="J927" t="str">
        <f>VLOOKUP(G927,Table4[[#All],[Cost Center]:[Client Type]],5,TRUE)</f>
        <v>Osama Mezayn</v>
      </c>
    </row>
    <row r="928" spans="6:10" x14ac:dyDescent="0.25">
      <c r="F928" t="s">
        <v>97</v>
      </c>
      <c r="G928" s="7" cm="1">
        <f t="array" ref="G928">INT(planned(F928))</f>
        <v>138</v>
      </c>
      <c r="H928">
        <f>VLOOKUP(G928,Table4[[#All],[Cost Center]:[Client Type]],2,TRUE)</f>
        <v>6</v>
      </c>
      <c r="I928" t="str">
        <f>VLOOKUP(G928,Table4[[#All],[Cost Center]:[Client Type]],3,TRUE)</f>
        <v>Creek</v>
      </c>
      <c r="J928" t="str">
        <f>VLOOKUP(G928,Table4[[#All],[Cost Center]:[Client Type]],5,TRUE)</f>
        <v>Osama Mezayn</v>
      </c>
    </row>
    <row r="929" spans="6:10" x14ac:dyDescent="0.25">
      <c r="F929" t="s">
        <v>97</v>
      </c>
      <c r="G929" s="7" cm="1">
        <f t="array" ref="G929">INT(planned(F929))</f>
        <v>138</v>
      </c>
      <c r="H929">
        <f>VLOOKUP(G929,Table4[[#All],[Cost Center]:[Client Type]],2,TRUE)</f>
        <v>6</v>
      </c>
      <c r="I929" t="str">
        <f>VLOOKUP(G929,Table4[[#All],[Cost Center]:[Client Type]],3,TRUE)</f>
        <v>Creek</v>
      </c>
      <c r="J929" t="str">
        <f>VLOOKUP(G929,Table4[[#All],[Cost Center]:[Client Type]],5,TRUE)</f>
        <v>Osama Mezayn</v>
      </c>
    </row>
    <row r="930" spans="6:10" x14ac:dyDescent="0.25">
      <c r="F930" t="s">
        <v>97</v>
      </c>
      <c r="G930" s="7" cm="1">
        <f t="array" ref="G930">INT(planned(F930))</f>
        <v>138</v>
      </c>
      <c r="H930">
        <f>VLOOKUP(G930,Table4[[#All],[Cost Center]:[Client Type]],2,TRUE)</f>
        <v>6</v>
      </c>
      <c r="I930" t="str">
        <f>VLOOKUP(G930,Table4[[#All],[Cost Center]:[Client Type]],3,TRUE)</f>
        <v>Creek</v>
      </c>
      <c r="J930" t="str">
        <f>VLOOKUP(G930,Table4[[#All],[Cost Center]:[Client Type]],5,TRUE)</f>
        <v>Osama Mezayn</v>
      </c>
    </row>
    <row r="931" spans="6:10" x14ac:dyDescent="0.25">
      <c r="F931" t="s">
        <v>97</v>
      </c>
      <c r="G931" s="7" cm="1">
        <f t="array" ref="G931">INT(planned(F931))</f>
        <v>138</v>
      </c>
      <c r="H931">
        <f>VLOOKUP(G931,Table4[[#All],[Cost Center]:[Client Type]],2,TRUE)</f>
        <v>6</v>
      </c>
      <c r="I931" t="str">
        <f>VLOOKUP(G931,Table4[[#All],[Cost Center]:[Client Type]],3,TRUE)</f>
        <v>Creek</v>
      </c>
      <c r="J931" t="str">
        <f>VLOOKUP(G931,Table4[[#All],[Cost Center]:[Client Type]],5,TRUE)</f>
        <v>Osama Mezayn</v>
      </c>
    </row>
    <row r="932" spans="6:10" x14ac:dyDescent="0.25">
      <c r="F932" t="s">
        <v>97</v>
      </c>
      <c r="G932" s="7" cm="1">
        <f t="array" ref="G932">INT(planned(F932))</f>
        <v>138</v>
      </c>
      <c r="H932">
        <f>VLOOKUP(G932,Table4[[#All],[Cost Center]:[Client Type]],2,TRUE)</f>
        <v>6</v>
      </c>
      <c r="I932" t="str">
        <f>VLOOKUP(G932,Table4[[#All],[Cost Center]:[Client Type]],3,TRUE)</f>
        <v>Creek</v>
      </c>
      <c r="J932" t="str">
        <f>VLOOKUP(G932,Table4[[#All],[Cost Center]:[Client Type]],5,TRUE)</f>
        <v>Osama Mezayn</v>
      </c>
    </row>
    <row r="933" spans="6:10" x14ac:dyDescent="0.25">
      <c r="F933" t="s">
        <v>97</v>
      </c>
      <c r="G933" s="7" cm="1">
        <f t="array" ref="G933">INT(planned(F933))</f>
        <v>138</v>
      </c>
      <c r="H933">
        <f>VLOOKUP(G933,Table4[[#All],[Cost Center]:[Client Type]],2,TRUE)</f>
        <v>6</v>
      </c>
      <c r="I933" t="str">
        <f>VLOOKUP(G933,Table4[[#All],[Cost Center]:[Client Type]],3,TRUE)</f>
        <v>Creek</v>
      </c>
      <c r="J933" t="str">
        <f>VLOOKUP(G933,Table4[[#All],[Cost Center]:[Client Type]],5,TRUE)</f>
        <v>Osama Mezayn</v>
      </c>
    </row>
    <row r="934" spans="6:10" x14ac:dyDescent="0.25">
      <c r="F934" t="s">
        <v>97</v>
      </c>
      <c r="G934" s="7" cm="1">
        <f t="array" ref="G934">INT(planned(F934))</f>
        <v>138</v>
      </c>
      <c r="H934">
        <f>VLOOKUP(G934,Table4[[#All],[Cost Center]:[Client Type]],2,TRUE)</f>
        <v>6</v>
      </c>
      <c r="I934" t="str">
        <f>VLOOKUP(G934,Table4[[#All],[Cost Center]:[Client Type]],3,TRUE)</f>
        <v>Creek</v>
      </c>
      <c r="J934" t="str">
        <f>VLOOKUP(G934,Table4[[#All],[Cost Center]:[Client Type]],5,TRUE)</f>
        <v>Osama Mezayn</v>
      </c>
    </row>
    <row r="935" spans="6:10" x14ac:dyDescent="0.25">
      <c r="F935" t="s">
        <v>97</v>
      </c>
      <c r="G935" s="7" cm="1">
        <f t="array" ref="G935">INT(planned(F935))</f>
        <v>138</v>
      </c>
      <c r="H935">
        <f>VLOOKUP(G935,Table4[[#All],[Cost Center]:[Client Type]],2,TRUE)</f>
        <v>6</v>
      </c>
      <c r="I935" t="str">
        <f>VLOOKUP(G935,Table4[[#All],[Cost Center]:[Client Type]],3,TRUE)</f>
        <v>Creek</v>
      </c>
      <c r="J935" t="str">
        <f>VLOOKUP(G935,Table4[[#All],[Cost Center]:[Client Type]],5,TRUE)</f>
        <v>Osama Mezayn</v>
      </c>
    </row>
    <row r="936" spans="6:10" x14ac:dyDescent="0.25">
      <c r="F936" t="s">
        <v>97</v>
      </c>
      <c r="G936" s="7" cm="1">
        <f t="array" ref="G936">INT(planned(F936))</f>
        <v>138</v>
      </c>
      <c r="H936">
        <f>VLOOKUP(G936,Table4[[#All],[Cost Center]:[Client Type]],2,TRUE)</f>
        <v>6</v>
      </c>
      <c r="I936" t="str">
        <f>VLOOKUP(G936,Table4[[#All],[Cost Center]:[Client Type]],3,TRUE)</f>
        <v>Creek</v>
      </c>
      <c r="J936" t="str">
        <f>VLOOKUP(G936,Table4[[#All],[Cost Center]:[Client Type]],5,TRUE)</f>
        <v>Osama Mezayn</v>
      </c>
    </row>
    <row r="937" spans="6:10" x14ac:dyDescent="0.25">
      <c r="F937" t="s">
        <v>97</v>
      </c>
      <c r="G937" s="7" cm="1">
        <f t="array" ref="G937">INT(planned(F937))</f>
        <v>138</v>
      </c>
      <c r="H937">
        <f>VLOOKUP(G937,Table4[[#All],[Cost Center]:[Client Type]],2,TRUE)</f>
        <v>6</v>
      </c>
      <c r="I937" t="str">
        <f>VLOOKUP(G937,Table4[[#All],[Cost Center]:[Client Type]],3,TRUE)</f>
        <v>Creek</v>
      </c>
      <c r="J937" t="str">
        <f>VLOOKUP(G937,Table4[[#All],[Cost Center]:[Client Type]],5,TRUE)</f>
        <v>Osama Mezayn</v>
      </c>
    </row>
    <row r="938" spans="6:10" x14ac:dyDescent="0.25">
      <c r="F938" t="s">
        <v>97</v>
      </c>
      <c r="G938" s="7" cm="1">
        <f t="array" ref="G938">INT(planned(F938))</f>
        <v>138</v>
      </c>
      <c r="H938">
        <f>VLOOKUP(G938,Table4[[#All],[Cost Center]:[Client Type]],2,TRUE)</f>
        <v>6</v>
      </c>
      <c r="I938" t="str">
        <f>VLOOKUP(G938,Table4[[#All],[Cost Center]:[Client Type]],3,TRUE)</f>
        <v>Creek</v>
      </c>
      <c r="J938" t="str">
        <f>VLOOKUP(G938,Table4[[#All],[Cost Center]:[Client Type]],5,TRUE)</f>
        <v>Osama Mezayn</v>
      </c>
    </row>
    <row r="939" spans="6:10" x14ac:dyDescent="0.25">
      <c r="F939" t="s">
        <v>97</v>
      </c>
      <c r="G939" s="7" cm="1">
        <f t="array" ref="G939">INT(planned(F939))</f>
        <v>138</v>
      </c>
      <c r="H939">
        <f>VLOOKUP(G939,Table4[[#All],[Cost Center]:[Client Type]],2,TRUE)</f>
        <v>6</v>
      </c>
      <c r="I939" t="str">
        <f>VLOOKUP(G939,Table4[[#All],[Cost Center]:[Client Type]],3,TRUE)</f>
        <v>Creek</v>
      </c>
      <c r="J939" t="str">
        <f>VLOOKUP(G939,Table4[[#All],[Cost Center]:[Client Type]],5,TRUE)</f>
        <v>Osama Mezayn</v>
      </c>
    </row>
    <row r="940" spans="6:10" x14ac:dyDescent="0.25">
      <c r="F940" t="s">
        <v>97</v>
      </c>
      <c r="G940" s="7" cm="1">
        <f t="array" ref="G940">INT(planned(F940))</f>
        <v>138</v>
      </c>
      <c r="H940">
        <f>VLOOKUP(G940,Table4[[#All],[Cost Center]:[Client Type]],2,TRUE)</f>
        <v>6</v>
      </c>
      <c r="I940" t="str">
        <f>VLOOKUP(G940,Table4[[#All],[Cost Center]:[Client Type]],3,TRUE)</f>
        <v>Creek</v>
      </c>
      <c r="J940" t="str">
        <f>VLOOKUP(G940,Table4[[#All],[Cost Center]:[Client Type]],5,TRUE)</f>
        <v>Osama Mezayn</v>
      </c>
    </row>
    <row r="941" spans="6:10" x14ac:dyDescent="0.25">
      <c r="F941" t="s">
        <v>97</v>
      </c>
      <c r="G941" s="7" cm="1">
        <f t="array" ref="G941">INT(planned(F941))</f>
        <v>138</v>
      </c>
      <c r="H941">
        <f>VLOOKUP(G941,Table4[[#All],[Cost Center]:[Client Type]],2,TRUE)</f>
        <v>6</v>
      </c>
      <c r="I941" t="str">
        <f>VLOOKUP(G941,Table4[[#All],[Cost Center]:[Client Type]],3,TRUE)</f>
        <v>Creek</v>
      </c>
      <c r="J941" t="str">
        <f>VLOOKUP(G941,Table4[[#All],[Cost Center]:[Client Type]],5,TRUE)</f>
        <v>Osama Mezayn</v>
      </c>
    </row>
    <row r="942" spans="6:10" x14ac:dyDescent="0.25">
      <c r="F942" t="s">
        <v>97</v>
      </c>
      <c r="G942" s="7" cm="1">
        <f t="array" ref="G942">INT(planned(F942))</f>
        <v>138</v>
      </c>
      <c r="H942">
        <f>VLOOKUP(G942,Table4[[#All],[Cost Center]:[Client Type]],2,TRUE)</f>
        <v>6</v>
      </c>
      <c r="I942" t="str">
        <f>VLOOKUP(G942,Table4[[#All],[Cost Center]:[Client Type]],3,TRUE)</f>
        <v>Creek</v>
      </c>
      <c r="J942" t="str">
        <f>VLOOKUP(G942,Table4[[#All],[Cost Center]:[Client Type]],5,TRUE)</f>
        <v>Osama Mezayn</v>
      </c>
    </row>
    <row r="943" spans="6:10" x14ac:dyDescent="0.25">
      <c r="F943" t="s">
        <v>97</v>
      </c>
      <c r="G943" s="7" cm="1">
        <f t="array" ref="G943">INT(planned(F943))</f>
        <v>138</v>
      </c>
      <c r="H943">
        <f>VLOOKUP(G943,Table4[[#All],[Cost Center]:[Client Type]],2,TRUE)</f>
        <v>6</v>
      </c>
      <c r="I943" t="str">
        <f>VLOOKUP(G943,Table4[[#All],[Cost Center]:[Client Type]],3,TRUE)</f>
        <v>Creek</v>
      </c>
      <c r="J943" t="str">
        <f>VLOOKUP(G943,Table4[[#All],[Cost Center]:[Client Type]],5,TRUE)</f>
        <v>Osama Mezayn</v>
      </c>
    </row>
    <row r="944" spans="6:10" x14ac:dyDescent="0.25">
      <c r="F944" t="s">
        <v>97</v>
      </c>
      <c r="G944" s="7" cm="1">
        <f t="array" ref="G944">INT(planned(F944))</f>
        <v>138</v>
      </c>
      <c r="H944">
        <f>VLOOKUP(G944,Table4[[#All],[Cost Center]:[Client Type]],2,TRUE)</f>
        <v>6</v>
      </c>
      <c r="I944" t="str">
        <f>VLOOKUP(G944,Table4[[#All],[Cost Center]:[Client Type]],3,TRUE)</f>
        <v>Creek</v>
      </c>
      <c r="J944" t="str">
        <f>VLOOKUP(G944,Table4[[#All],[Cost Center]:[Client Type]],5,TRUE)</f>
        <v>Osama Mezayn</v>
      </c>
    </row>
    <row r="945" spans="6:10" x14ac:dyDescent="0.25">
      <c r="F945" t="s">
        <v>97</v>
      </c>
      <c r="G945" s="7" cm="1">
        <f t="array" ref="G945">INT(planned(F945))</f>
        <v>138</v>
      </c>
      <c r="H945">
        <f>VLOOKUP(G945,Table4[[#All],[Cost Center]:[Client Type]],2,TRUE)</f>
        <v>6</v>
      </c>
      <c r="I945" t="str">
        <f>VLOOKUP(G945,Table4[[#All],[Cost Center]:[Client Type]],3,TRUE)</f>
        <v>Creek</v>
      </c>
      <c r="J945" t="str">
        <f>VLOOKUP(G945,Table4[[#All],[Cost Center]:[Client Type]],5,TRUE)</f>
        <v>Osama Mezayn</v>
      </c>
    </row>
    <row r="946" spans="6:10" x14ac:dyDescent="0.25">
      <c r="F946" t="s">
        <v>97</v>
      </c>
      <c r="G946" s="7" cm="1">
        <f t="array" ref="G946">INT(planned(F946))</f>
        <v>138</v>
      </c>
      <c r="H946">
        <f>VLOOKUP(G946,Table4[[#All],[Cost Center]:[Client Type]],2,TRUE)</f>
        <v>6</v>
      </c>
      <c r="I946" t="str">
        <f>VLOOKUP(G946,Table4[[#All],[Cost Center]:[Client Type]],3,TRUE)</f>
        <v>Creek</v>
      </c>
      <c r="J946" t="str">
        <f>VLOOKUP(G946,Table4[[#All],[Cost Center]:[Client Type]],5,TRUE)</f>
        <v>Osama Mezayn</v>
      </c>
    </row>
    <row r="947" spans="6:10" x14ac:dyDescent="0.25">
      <c r="F947" t="s">
        <v>97</v>
      </c>
      <c r="G947" s="7" cm="1">
        <f t="array" ref="G947">INT(planned(F947))</f>
        <v>138</v>
      </c>
      <c r="H947">
        <f>VLOOKUP(G947,Table4[[#All],[Cost Center]:[Client Type]],2,TRUE)</f>
        <v>6</v>
      </c>
      <c r="I947" t="str">
        <f>VLOOKUP(G947,Table4[[#All],[Cost Center]:[Client Type]],3,TRUE)</f>
        <v>Creek</v>
      </c>
      <c r="J947" t="str">
        <f>VLOOKUP(G947,Table4[[#All],[Cost Center]:[Client Type]],5,TRUE)</f>
        <v>Osama Mezayn</v>
      </c>
    </row>
    <row r="948" spans="6:10" x14ac:dyDescent="0.25">
      <c r="F948" t="s">
        <v>97</v>
      </c>
      <c r="G948" s="7" cm="1">
        <f t="array" ref="G948">INT(planned(F948))</f>
        <v>138</v>
      </c>
      <c r="H948">
        <f>VLOOKUP(G948,Table4[[#All],[Cost Center]:[Client Type]],2,TRUE)</f>
        <v>6</v>
      </c>
      <c r="I948" t="str">
        <f>VLOOKUP(G948,Table4[[#All],[Cost Center]:[Client Type]],3,TRUE)</f>
        <v>Creek</v>
      </c>
      <c r="J948" t="str">
        <f>VLOOKUP(G948,Table4[[#All],[Cost Center]:[Client Type]],5,TRUE)</f>
        <v>Osama Mezayn</v>
      </c>
    </row>
    <row r="949" spans="6:10" x14ac:dyDescent="0.25">
      <c r="F949" t="s">
        <v>97</v>
      </c>
      <c r="G949" s="7" cm="1">
        <f t="array" ref="G949">INT(planned(F949))</f>
        <v>138</v>
      </c>
      <c r="H949">
        <f>VLOOKUP(G949,Table4[[#All],[Cost Center]:[Client Type]],2,TRUE)</f>
        <v>6</v>
      </c>
      <c r="I949" t="str">
        <f>VLOOKUP(G949,Table4[[#All],[Cost Center]:[Client Type]],3,TRUE)</f>
        <v>Creek</v>
      </c>
      <c r="J949" t="str">
        <f>VLOOKUP(G949,Table4[[#All],[Cost Center]:[Client Type]],5,TRUE)</f>
        <v>Osama Mezayn</v>
      </c>
    </row>
    <row r="950" spans="6:10" x14ac:dyDescent="0.25">
      <c r="F950" t="s">
        <v>97</v>
      </c>
      <c r="G950" s="7" cm="1">
        <f t="array" ref="G950">INT(planned(F950))</f>
        <v>138</v>
      </c>
      <c r="H950">
        <f>VLOOKUP(G950,Table4[[#All],[Cost Center]:[Client Type]],2,TRUE)</f>
        <v>6</v>
      </c>
      <c r="I950" t="str">
        <f>VLOOKUP(G950,Table4[[#All],[Cost Center]:[Client Type]],3,TRUE)</f>
        <v>Creek</v>
      </c>
      <c r="J950" t="str">
        <f>VLOOKUP(G950,Table4[[#All],[Cost Center]:[Client Type]],5,TRUE)</f>
        <v>Osama Mezayn</v>
      </c>
    </row>
    <row r="951" spans="6:10" x14ac:dyDescent="0.25">
      <c r="F951" t="s">
        <v>97</v>
      </c>
      <c r="G951" s="7" cm="1">
        <f t="array" ref="G951">INT(planned(F951))</f>
        <v>138</v>
      </c>
      <c r="H951">
        <f>VLOOKUP(G951,Table4[[#All],[Cost Center]:[Client Type]],2,TRUE)</f>
        <v>6</v>
      </c>
      <c r="I951" t="str">
        <f>VLOOKUP(G951,Table4[[#All],[Cost Center]:[Client Type]],3,TRUE)</f>
        <v>Creek</v>
      </c>
      <c r="J951" t="str">
        <f>VLOOKUP(G951,Table4[[#All],[Cost Center]:[Client Type]],5,TRUE)</f>
        <v>Osama Mezayn</v>
      </c>
    </row>
    <row r="952" spans="6:10" x14ac:dyDescent="0.25">
      <c r="F952" t="s">
        <v>97</v>
      </c>
      <c r="G952" s="7" cm="1">
        <f t="array" ref="G952">INT(planned(F952))</f>
        <v>138</v>
      </c>
      <c r="H952">
        <f>VLOOKUP(G952,Table4[[#All],[Cost Center]:[Client Type]],2,TRUE)</f>
        <v>6</v>
      </c>
      <c r="I952" t="str">
        <f>VLOOKUP(G952,Table4[[#All],[Cost Center]:[Client Type]],3,TRUE)</f>
        <v>Creek</v>
      </c>
      <c r="J952" t="str">
        <f>VLOOKUP(G952,Table4[[#All],[Cost Center]:[Client Type]],5,TRUE)</f>
        <v>Osama Mezayn</v>
      </c>
    </row>
    <row r="953" spans="6:10" x14ac:dyDescent="0.25">
      <c r="F953" t="s">
        <v>97</v>
      </c>
      <c r="G953" s="7" cm="1">
        <f t="array" ref="G953">INT(planned(F953))</f>
        <v>138</v>
      </c>
      <c r="H953">
        <f>VLOOKUP(G953,Table4[[#All],[Cost Center]:[Client Type]],2,TRUE)</f>
        <v>6</v>
      </c>
      <c r="I953" t="str">
        <f>VLOOKUP(G953,Table4[[#All],[Cost Center]:[Client Type]],3,TRUE)</f>
        <v>Creek</v>
      </c>
      <c r="J953" t="str">
        <f>VLOOKUP(G953,Table4[[#All],[Cost Center]:[Client Type]],5,TRUE)</f>
        <v>Osama Mezayn</v>
      </c>
    </row>
    <row r="954" spans="6:10" x14ac:dyDescent="0.25">
      <c r="F954" t="s">
        <v>97</v>
      </c>
      <c r="G954" s="7" cm="1">
        <f t="array" ref="G954">INT(planned(F954))</f>
        <v>138</v>
      </c>
      <c r="H954">
        <f>VLOOKUP(G954,Table4[[#All],[Cost Center]:[Client Type]],2,TRUE)</f>
        <v>6</v>
      </c>
      <c r="I954" t="str">
        <f>VLOOKUP(G954,Table4[[#All],[Cost Center]:[Client Type]],3,TRUE)</f>
        <v>Creek</v>
      </c>
      <c r="J954" t="str">
        <f>VLOOKUP(G954,Table4[[#All],[Cost Center]:[Client Type]],5,TRUE)</f>
        <v>Osama Mezayn</v>
      </c>
    </row>
    <row r="955" spans="6:10" x14ac:dyDescent="0.25">
      <c r="F955" t="s">
        <v>97</v>
      </c>
      <c r="G955" s="7" cm="1">
        <f t="array" ref="G955">INT(planned(F955))</f>
        <v>138</v>
      </c>
      <c r="H955">
        <f>VLOOKUP(G955,Table4[[#All],[Cost Center]:[Client Type]],2,TRUE)</f>
        <v>6</v>
      </c>
      <c r="I955" t="str">
        <f>VLOOKUP(G955,Table4[[#All],[Cost Center]:[Client Type]],3,TRUE)</f>
        <v>Creek</v>
      </c>
      <c r="J955" t="str">
        <f>VLOOKUP(G955,Table4[[#All],[Cost Center]:[Client Type]],5,TRUE)</f>
        <v>Osama Mezayn</v>
      </c>
    </row>
    <row r="956" spans="6:10" x14ac:dyDescent="0.25">
      <c r="F956" t="s">
        <v>97</v>
      </c>
      <c r="G956" s="7" cm="1">
        <f t="array" ref="G956">INT(planned(F956))</f>
        <v>138</v>
      </c>
      <c r="H956">
        <f>VLOOKUP(G956,Table4[[#All],[Cost Center]:[Client Type]],2,TRUE)</f>
        <v>6</v>
      </c>
      <c r="I956" t="str">
        <f>VLOOKUP(G956,Table4[[#All],[Cost Center]:[Client Type]],3,TRUE)</f>
        <v>Creek</v>
      </c>
      <c r="J956" t="str">
        <f>VLOOKUP(G956,Table4[[#All],[Cost Center]:[Client Type]],5,TRUE)</f>
        <v>Osama Mezayn</v>
      </c>
    </row>
    <row r="957" spans="6:10" x14ac:dyDescent="0.25">
      <c r="F957" t="s">
        <v>97</v>
      </c>
      <c r="G957" s="7" cm="1">
        <f t="array" ref="G957">INT(planned(F957))</f>
        <v>138</v>
      </c>
      <c r="H957">
        <f>VLOOKUP(G957,Table4[[#All],[Cost Center]:[Client Type]],2,TRUE)</f>
        <v>6</v>
      </c>
      <c r="I957" t="str">
        <f>VLOOKUP(G957,Table4[[#All],[Cost Center]:[Client Type]],3,TRUE)</f>
        <v>Creek</v>
      </c>
      <c r="J957" t="str">
        <f>VLOOKUP(G957,Table4[[#All],[Cost Center]:[Client Type]],5,TRUE)</f>
        <v>Osama Mezayn</v>
      </c>
    </row>
    <row r="958" spans="6:10" x14ac:dyDescent="0.25">
      <c r="F958" t="s">
        <v>97</v>
      </c>
      <c r="G958" s="7" cm="1">
        <f t="array" ref="G958">INT(planned(F958))</f>
        <v>138</v>
      </c>
      <c r="H958">
        <f>VLOOKUP(G958,Table4[[#All],[Cost Center]:[Client Type]],2,TRUE)</f>
        <v>6</v>
      </c>
      <c r="I958" t="str">
        <f>VLOOKUP(G958,Table4[[#All],[Cost Center]:[Client Type]],3,TRUE)</f>
        <v>Creek</v>
      </c>
      <c r="J958" t="str">
        <f>VLOOKUP(G958,Table4[[#All],[Cost Center]:[Client Type]],5,TRUE)</f>
        <v>Osama Mezayn</v>
      </c>
    </row>
    <row r="959" spans="6:10" x14ac:dyDescent="0.25">
      <c r="F959" t="s">
        <v>97</v>
      </c>
      <c r="G959" s="7" cm="1">
        <f t="array" ref="G959">INT(planned(F959))</f>
        <v>138</v>
      </c>
      <c r="H959">
        <f>VLOOKUP(G959,Table4[[#All],[Cost Center]:[Client Type]],2,TRUE)</f>
        <v>6</v>
      </c>
      <c r="I959" t="str">
        <f>VLOOKUP(G959,Table4[[#All],[Cost Center]:[Client Type]],3,TRUE)</f>
        <v>Creek</v>
      </c>
      <c r="J959" t="str">
        <f>VLOOKUP(G959,Table4[[#All],[Cost Center]:[Client Type]],5,TRUE)</f>
        <v>Osama Mezayn</v>
      </c>
    </row>
    <row r="960" spans="6:10" x14ac:dyDescent="0.25">
      <c r="F960" t="s">
        <v>97</v>
      </c>
      <c r="G960" s="7" cm="1">
        <f t="array" ref="G960">INT(planned(F960))</f>
        <v>138</v>
      </c>
      <c r="H960">
        <f>VLOOKUP(G960,Table4[[#All],[Cost Center]:[Client Type]],2,TRUE)</f>
        <v>6</v>
      </c>
      <c r="I960" t="str">
        <f>VLOOKUP(G960,Table4[[#All],[Cost Center]:[Client Type]],3,TRUE)</f>
        <v>Creek</v>
      </c>
      <c r="J960" t="str">
        <f>VLOOKUP(G960,Table4[[#All],[Cost Center]:[Client Type]],5,TRUE)</f>
        <v>Osama Mezayn</v>
      </c>
    </row>
    <row r="961" spans="6:10" x14ac:dyDescent="0.25">
      <c r="F961" t="s">
        <v>97</v>
      </c>
      <c r="G961" s="7" cm="1">
        <f t="array" ref="G961">INT(planned(F961))</f>
        <v>138</v>
      </c>
      <c r="H961">
        <f>VLOOKUP(G961,Table4[[#All],[Cost Center]:[Client Type]],2,TRUE)</f>
        <v>6</v>
      </c>
      <c r="I961" t="str">
        <f>VLOOKUP(G961,Table4[[#All],[Cost Center]:[Client Type]],3,TRUE)</f>
        <v>Creek</v>
      </c>
      <c r="J961" t="str">
        <f>VLOOKUP(G961,Table4[[#All],[Cost Center]:[Client Type]],5,TRUE)</f>
        <v>Osama Mezayn</v>
      </c>
    </row>
    <row r="962" spans="6:10" x14ac:dyDescent="0.25">
      <c r="F962" t="s">
        <v>97</v>
      </c>
      <c r="G962" s="7" cm="1">
        <f t="array" ref="G962">INT(planned(F962))</f>
        <v>138</v>
      </c>
      <c r="H962">
        <f>VLOOKUP(G962,Table4[[#All],[Cost Center]:[Client Type]],2,TRUE)</f>
        <v>6</v>
      </c>
      <c r="I962" t="str">
        <f>VLOOKUP(G962,Table4[[#All],[Cost Center]:[Client Type]],3,TRUE)</f>
        <v>Creek</v>
      </c>
      <c r="J962" t="str">
        <f>VLOOKUP(G962,Table4[[#All],[Cost Center]:[Client Type]],5,TRUE)</f>
        <v>Osama Mezayn</v>
      </c>
    </row>
    <row r="963" spans="6:10" x14ac:dyDescent="0.25">
      <c r="F963" t="s">
        <v>97</v>
      </c>
      <c r="G963" s="7" cm="1">
        <f t="array" ref="G963">INT(planned(F963))</f>
        <v>138</v>
      </c>
      <c r="H963">
        <f>VLOOKUP(G963,Table4[[#All],[Cost Center]:[Client Type]],2,TRUE)</f>
        <v>6</v>
      </c>
      <c r="I963" t="str">
        <f>VLOOKUP(G963,Table4[[#All],[Cost Center]:[Client Type]],3,TRUE)</f>
        <v>Creek</v>
      </c>
      <c r="J963" t="str">
        <f>VLOOKUP(G963,Table4[[#All],[Cost Center]:[Client Type]],5,TRUE)</f>
        <v>Osama Mezayn</v>
      </c>
    </row>
    <row r="964" spans="6:10" x14ac:dyDescent="0.25">
      <c r="F964" t="s">
        <v>97</v>
      </c>
      <c r="G964" s="7" cm="1">
        <f t="array" ref="G964">INT(planned(F964))</f>
        <v>138</v>
      </c>
      <c r="H964">
        <f>VLOOKUP(G964,Table4[[#All],[Cost Center]:[Client Type]],2,TRUE)</f>
        <v>6</v>
      </c>
      <c r="I964" t="str">
        <f>VLOOKUP(G964,Table4[[#All],[Cost Center]:[Client Type]],3,TRUE)</f>
        <v>Creek</v>
      </c>
      <c r="J964" t="str">
        <f>VLOOKUP(G964,Table4[[#All],[Cost Center]:[Client Type]],5,TRUE)</f>
        <v>Osama Mezayn</v>
      </c>
    </row>
    <row r="965" spans="6:10" x14ac:dyDescent="0.25">
      <c r="F965" t="s">
        <v>97</v>
      </c>
      <c r="G965" s="7" cm="1">
        <f t="array" ref="G965">INT(planned(F965))</f>
        <v>138</v>
      </c>
      <c r="H965">
        <f>VLOOKUP(G965,Table4[[#All],[Cost Center]:[Client Type]],2,TRUE)</f>
        <v>6</v>
      </c>
      <c r="I965" t="str">
        <f>VLOOKUP(G965,Table4[[#All],[Cost Center]:[Client Type]],3,TRUE)</f>
        <v>Creek</v>
      </c>
      <c r="J965" t="str">
        <f>VLOOKUP(G965,Table4[[#All],[Cost Center]:[Client Type]],5,TRUE)</f>
        <v>Osama Mezayn</v>
      </c>
    </row>
    <row r="966" spans="6:10" x14ac:dyDescent="0.25">
      <c r="F966" t="s">
        <v>97</v>
      </c>
      <c r="G966" s="7" cm="1">
        <f t="array" ref="G966">INT(planned(F966))</f>
        <v>138</v>
      </c>
      <c r="H966">
        <f>VLOOKUP(G966,Table4[[#All],[Cost Center]:[Client Type]],2,TRUE)</f>
        <v>6</v>
      </c>
      <c r="I966" t="str">
        <f>VLOOKUP(G966,Table4[[#All],[Cost Center]:[Client Type]],3,TRUE)</f>
        <v>Creek</v>
      </c>
      <c r="J966" t="str">
        <f>VLOOKUP(G966,Table4[[#All],[Cost Center]:[Client Type]],5,TRUE)</f>
        <v>Osama Mezayn</v>
      </c>
    </row>
    <row r="967" spans="6:10" x14ac:dyDescent="0.25">
      <c r="F967" t="s">
        <v>97</v>
      </c>
      <c r="G967" s="7" cm="1">
        <f t="array" ref="G967">INT(planned(F967))</f>
        <v>138</v>
      </c>
      <c r="H967">
        <f>VLOOKUP(G967,Table4[[#All],[Cost Center]:[Client Type]],2,TRUE)</f>
        <v>6</v>
      </c>
      <c r="I967" t="str">
        <f>VLOOKUP(G967,Table4[[#All],[Cost Center]:[Client Type]],3,TRUE)</f>
        <v>Creek</v>
      </c>
      <c r="J967" t="str">
        <f>VLOOKUP(G967,Table4[[#All],[Cost Center]:[Client Type]],5,TRUE)</f>
        <v>Osama Mezayn</v>
      </c>
    </row>
    <row r="968" spans="6:10" x14ac:dyDescent="0.25">
      <c r="F968" t="s">
        <v>97</v>
      </c>
      <c r="G968" s="7" cm="1">
        <f t="array" ref="G968">INT(planned(F968))</f>
        <v>138</v>
      </c>
      <c r="H968">
        <f>VLOOKUP(G968,Table4[[#All],[Cost Center]:[Client Type]],2,TRUE)</f>
        <v>6</v>
      </c>
      <c r="I968" t="str">
        <f>VLOOKUP(G968,Table4[[#All],[Cost Center]:[Client Type]],3,TRUE)</f>
        <v>Creek</v>
      </c>
      <c r="J968" t="str">
        <f>VLOOKUP(G968,Table4[[#All],[Cost Center]:[Client Type]],5,TRUE)</f>
        <v>Osama Mezayn</v>
      </c>
    </row>
    <row r="969" spans="6:10" x14ac:dyDescent="0.25">
      <c r="F969" t="s">
        <v>97</v>
      </c>
      <c r="G969" s="7" cm="1">
        <f t="array" ref="G969">INT(planned(F969))</f>
        <v>138</v>
      </c>
      <c r="H969">
        <f>VLOOKUP(G969,Table4[[#All],[Cost Center]:[Client Type]],2,TRUE)</f>
        <v>6</v>
      </c>
      <c r="I969" t="str">
        <f>VLOOKUP(G969,Table4[[#All],[Cost Center]:[Client Type]],3,TRUE)</f>
        <v>Creek</v>
      </c>
      <c r="J969" t="str">
        <f>VLOOKUP(G969,Table4[[#All],[Cost Center]:[Client Type]],5,TRUE)</f>
        <v>Osama Mezayn</v>
      </c>
    </row>
    <row r="970" spans="6:10" x14ac:dyDescent="0.25">
      <c r="F970" t="s">
        <v>97</v>
      </c>
      <c r="G970" s="7" cm="1">
        <f t="array" ref="G970">INT(planned(F970))</f>
        <v>138</v>
      </c>
      <c r="H970">
        <f>VLOOKUP(G970,Table4[[#All],[Cost Center]:[Client Type]],2,TRUE)</f>
        <v>6</v>
      </c>
      <c r="I970" t="str">
        <f>VLOOKUP(G970,Table4[[#All],[Cost Center]:[Client Type]],3,TRUE)</f>
        <v>Creek</v>
      </c>
      <c r="J970" t="str">
        <f>VLOOKUP(G970,Table4[[#All],[Cost Center]:[Client Type]],5,TRUE)</f>
        <v>Osama Mezayn</v>
      </c>
    </row>
    <row r="971" spans="6:10" x14ac:dyDescent="0.25">
      <c r="F971" t="s">
        <v>97</v>
      </c>
      <c r="G971" s="7" cm="1">
        <f t="array" ref="G971">INT(planned(F971))</f>
        <v>138</v>
      </c>
      <c r="H971">
        <f>VLOOKUP(G971,Table4[[#All],[Cost Center]:[Client Type]],2,TRUE)</f>
        <v>6</v>
      </c>
      <c r="I971" t="str">
        <f>VLOOKUP(G971,Table4[[#All],[Cost Center]:[Client Type]],3,TRUE)</f>
        <v>Creek</v>
      </c>
      <c r="J971" t="str">
        <f>VLOOKUP(G971,Table4[[#All],[Cost Center]:[Client Type]],5,TRUE)</f>
        <v>Osama Mezayn</v>
      </c>
    </row>
    <row r="972" spans="6:10" x14ac:dyDescent="0.25">
      <c r="F972" t="s">
        <v>97</v>
      </c>
      <c r="G972" s="7" cm="1">
        <f t="array" ref="G972">INT(planned(F972))</f>
        <v>138</v>
      </c>
      <c r="H972">
        <f>VLOOKUP(G972,Table4[[#All],[Cost Center]:[Client Type]],2,TRUE)</f>
        <v>6</v>
      </c>
      <c r="I972" t="str">
        <f>VLOOKUP(G972,Table4[[#All],[Cost Center]:[Client Type]],3,TRUE)</f>
        <v>Creek</v>
      </c>
      <c r="J972" t="str">
        <f>VLOOKUP(G972,Table4[[#All],[Cost Center]:[Client Type]],5,TRUE)</f>
        <v>Osama Mezayn</v>
      </c>
    </row>
    <row r="973" spans="6:10" x14ac:dyDescent="0.25">
      <c r="F973" t="s">
        <v>97</v>
      </c>
      <c r="G973" s="7" cm="1">
        <f t="array" ref="G973">INT(planned(F973))</f>
        <v>138</v>
      </c>
      <c r="H973">
        <f>VLOOKUP(G973,Table4[[#All],[Cost Center]:[Client Type]],2,TRUE)</f>
        <v>6</v>
      </c>
      <c r="I973" t="str">
        <f>VLOOKUP(G973,Table4[[#All],[Cost Center]:[Client Type]],3,TRUE)</f>
        <v>Creek</v>
      </c>
      <c r="J973" t="str">
        <f>VLOOKUP(G973,Table4[[#All],[Cost Center]:[Client Type]],5,TRUE)</f>
        <v>Osama Mezayn</v>
      </c>
    </row>
    <row r="974" spans="6:10" x14ac:dyDescent="0.25">
      <c r="F974" t="s">
        <v>97</v>
      </c>
      <c r="G974" s="7" cm="1">
        <f t="array" ref="G974">INT(planned(F974))</f>
        <v>138</v>
      </c>
      <c r="H974">
        <f>VLOOKUP(G974,Table4[[#All],[Cost Center]:[Client Type]],2,TRUE)</f>
        <v>6</v>
      </c>
      <c r="I974" t="str">
        <f>VLOOKUP(G974,Table4[[#All],[Cost Center]:[Client Type]],3,TRUE)</f>
        <v>Creek</v>
      </c>
      <c r="J974" t="str">
        <f>VLOOKUP(G974,Table4[[#All],[Cost Center]:[Client Type]],5,TRUE)</f>
        <v>Osama Mezayn</v>
      </c>
    </row>
    <row r="975" spans="6:10" x14ac:dyDescent="0.25">
      <c r="F975" t="s">
        <v>97</v>
      </c>
      <c r="G975" s="7" cm="1">
        <f t="array" ref="G975">INT(planned(F975))</f>
        <v>138</v>
      </c>
      <c r="H975">
        <f>VLOOKUP(G975,Table4[[#All],[Cost Center]:[Client Type]],2,TRUE)</f>
        <v>6</v>
      </c>
      <c r="I975" t="str">
        <f>VLOOKUP(G975,Table4[[#All],[Cost Center]:[Client Type]],3,TRUE)</f>
        <v>Creek</v>
      </c>
      <c r="J975" t="str">
        <f>VLOOKUP(G975,Table4[[#All],[Cost Center]:[Client Type]],5,TRUE)</f>
        <v>Osama Mezayn</v>
      </c>
    </row>
    <row r="976" spans="6:10" x14ac:dyDescent="0.25">
      <c r="F976" t="s">
        <v>97</v>
      </c>
      <c r="G976" s="7" cm="1">
        <f t="array" ref="G976">INT(planned(F976))</f>
        <v>138</v>
      </c>
      <c r="H976">
        <f>VLOOKUP(G976,Table4[[#All],[Cost Center]:[Client Type]],2,TRUE)</f>
        <v>6</v>
      </c>
      <c r="I976" t="str">
        <f>VLOOKUP(G976,Table4[[#All],[Cost Center]:[Client Type]],3,TRUE)</f>
        <v>Creek</v>
      </c>
      <c r="J976" t="str">
        <f>VLOOKUP(G976,Table4[[#All],[Cost Center]:[Client Type]],5,TRUE)</f>
        <v>Osama Mezayn</v>
      </c>
    </row>
    <row r="977" spans="6:10" x14ac:dyDescent="0.25">
      <c r="F977" t="s">
        <v>97</v>
      </c>
      <c r="G977" s="7" cm="1">
        <f t="array" ref="G977">INT(planned(F977))</f>
        <v>138</v>
      </c>
      <c r="H977">
        <f>VLOOKUP(G977,Table4[[#All],[Cost Center]:[Client Type]],2,TRUE)</f>
        <v>6</v>
      </c>
      <c r="I977" t="str">
        <f>VLOOKUP(G977,Table4[[#All],[Cost Center]:[Client Type]],3,TRUE)</f>
        <v>Creek</v>
      </c>
      <c r="J977" t="str">
        <f>VLOOKUP(G977,Table4[[#All],[Cost Center]:[Client Type]],5,TRUE)</f>
        <v>Osama Mezayn</v>
      </c>
    </row>
    <row r="978" spans="6:10" x14ac:dyDescent="0.25">
      <c r="F978" t="s">
        <v>97</v>
      </c>
      <c r="G978" s="7" cm="1">
        <f t="array" ref="G978">INT(planned(F978))</f>
        <v>138</v>
      </c>
      <c r="H978">
        <f>VLOOKUP(G978,Table4[[#All],[Cost Center]:[Client Type]],2,TRUE)</f>
        <v>6</v>
      </c>
      <c r="I978" t="str">
        <f>VLOOKUP(G978,Table4[[#All],[Cost Center]:[Client Type]],3,TRUE)</f>
        <v>Creek</v>
      </c>
      <c r="J978" t="str">
        <f>VLOOKUP(G978,Table4[[#All],[Cost Center]:[Client Type]],5,TRUE)</f>
        <v>Osama Mezayn</v>
      </c>
    </row>
    <row r="979" spans="6:10" x14ac:dyDescent="0.25">
      <c r="F979" t="s">
        <v>97</v>
      </c>
      <c r="G979" s="7" cm="1">
        <f t="array" ref="G979">INT(planned(F979))</f>
        <v>138</v>
      </c>
      <c r="H979">
        <f>VLOOKUP(G979,Table4[[#All],[Cost Center]:[Client Type]],2,TRUE)</f>
        <v>6</v>
      </c>
      <c r="I979" t="str">
        <f>VLOOKUP(G979,Table4[[#All],[Cost Center]:[Client Type]],3,TRUE)</f>
        <v>Creek</v>
      </c>
      <c r="J979" t="str">
        <f>VLOOKUP(G979,Table4[[#All],[Cost Center]:[Client Type]],5,TRUE)</f>
        <v>Osama Mezayn</v>
      </c>
    </row>
    <row r="980" spans="6:10" x14ac:dyDescent="0.25">
      <c r="F980" t="s">
        <v>97</v>
      </c>
      <c r="G980" s="7" cm="1">
        <f t="array" ref="G980">INT(planned(F980))</f>
        <v>138</v>
      </c>
      <c r="H980">
        <f>VLOOKUP(G980,Table4[[#All],[Cost Center]:[Client Type]],2,TRUE)</f>
        <v>6</v>
      </c>
      <c r="I980" t="str">
        <f>VLOOKUP(G980,Table4[[#All],[Cost Center]:[Client Type]],3,TRUE)</f>
        <v>Creek</v>
      </c>
      <c r="J980" t="str">
        <f>VLOOKUP(G980,Table4[[#All],[Cost Center]:[Client Type]],5,TRUE)</f>
        <v>Osama Mezayn</v>
      </c>
    </row>
    <row r="981" spans="6:10" x14ac:dyDescent="0.25">
      <c r="F981" t="s">
        <v>97</v>
      </c>
      <c r="G981" s="7" cm="1">
        <f t="array" ref="G981">INT(planned(F981))</f>
        <v>138</v>
      </c>
      <c r="H981">
        <f>VLOOKUP(G981,Table4[[#All],[Cost Center]:[Client Type]],2,TRUE)</f>
        <v>6</v>
      </c>
      <c r="I981" t="str">
        <f>VLOOKUP(G981,Table4[[#All],[Cost Center]:[Client Type]],3,TRUE)</f>
        <v>Creek</v>
      </c>
      <c r="J981" t="str">
        <f>VLOOKUP(G981,Table4[[#All],[Cost Center]:[Client Type]],5,TRUE)</f>
        <v>Osama Mezayn</v>
      </c>
    </row>
    <row r="982" spans="6:10" x14ac:dyDescent="0.25">
      <c r="F982" t="s">
        <v>97</v>
      </c>
      <c r="G982" s="7" cm="1">
        <f t="array" ref="G982">INT(planned(F982))</f>
        <v>138</v>
      </c>
      <c r="H982">
        <f>VLOOKUP(G982,Table4[[#All],[Cost Center]:[Client Type]],2,TRUE)</f>
        <v>6</v>
      </c>
      <c r="I982" t="str">
        <f>VLOOKUP(G982,Table4[[#All],[Cost Center]:[Client Type]],3,TRUE)</f>
        <v>Creek</v>
      </c>
      <c r="J982" t="str">
        <f>VLOOKUP(G982,Table4[[#All],[Cost Center]:[Client Type]],5,TRUE)</f>
        <v>Osama Mezayn</v>
      </c>
    </row>
    <row r="983" spans="6:10" x14ac:dyDescent="0.25">
      <c r="F983" t="s">
        <v>97</v>
      </c>
      <c r="G983" s="7" cm="1">
        <f t="array" ref="G983">INT(planned(F983))</f>
        <v>138</v>
      </c>
      <c r="H983">
        <f>VLOOKUP(G983,Table4[[#All],[Cost Center]:[Client Type]],2,TRUE)</f>
        <v>6</v>
      </c>
      <c r="I983" t="str">
        <f>VLOOKUP(G983,Table4[[#All],[Cost Center]:[Client Type]],3,TRUE)</f>
        <v>Creek</v>
      </c>
      <c r="J983" t="str">
        <f>VLOOKUP(G983,Table4[[#All],[Cost Center]:[Client Type]],5,TRUE)</f>
        <v>Osama Mezayn</v>
      </c>
    </row>
    <row r="984" spans="6:10" x14ac:dyDescent="0.25">
      <c r="F984" t="s">
        <v>97</v>
      </c>
      <c r="G984" s="7" cm="1">
        <f t="array" ref="G984">INT(planned(F984))</f>
        <v>138</v>
      </c>
      <c r="H984">
        <f>VLOOKUP(G984,Table4[[#All],[Cost Center]:[Client Type]],2,TRUE)</f>
        <v>6</v>
      </c>
      <c r="I984" t="str">
        <f>VLOOKUP(G984,Table4[[#All],[Cost Center]:[Client Type]],3,TRUE)</f>
        <v>Creek</v>
      </c>
      <c r="J984" t="str">
        <f>VLOOKUP(G984,Table4[[#All],[Cost Center]:[Client Type]],5,TRUE)</f>
        <v>Osama Mezayn</v>
      </c>
    </row>
    <row r="985" spans="6:10" x14ac:dyDescent="0.25">
      <c r="F985" t="s">
        <v>97</v>
      </c>
      <c r="G985" s="7" cm="1">
        <f t="array" ref="G985">INT(planned(F985))</f>
        <v>138</v>
      </c>
      <c r="H985">
        <f>VLOOKUP(G985,Table4[[#All],[Cost Center]:[Client Type]],2,TRUE)</f>
        <v>6</v>
      </c>
      <c r="I985" t="str">
        <f>VLOOKUP(G985,Table4[[#All],[Cost Center]:[Client Type]],3,TRUE)</f>
        <v>Creek</v>
      </c>
      <c r="J985" t="str">
        <f>VLOOKUP(G985,Table4[[#All],[Cost Center]:[Client Type]],5,TRUE)</f>
        <v>Osama Mezayn</v>
      </c>
    </row>
    <row r="986" spans="6:10" x14ac:dyDescent="0.25">
      <c r="F986" t="s">
        <v>97</v>
      </c>
      <c r="G986" s="7" cm="1">
        <f t="array" ref="G986">INT(planned(F986))</f>
        <v>138</v>
      </c>
      <c r="H986">
        <f>VLOOKUP(G986,Table4[[#All],[Cost Center]:[Client Type]],2,TRUE)</f>
        <v>6</v>
      </c>
      <c r="I986" t="str">
        <f>VLOOKUP(G986,Table4[[#All],[Cost Center]:[Client Type]],3,TRUE)</f>
        <v>Creek</v>
      </c>
      <c r="J986" t="str">
        <f>VLOOKUP(G986,Table4[[#All],[Cost Center]:[Client Type]],5,TRUE)</f>
        <v>Osama Mezayn</v>
      </c>
    </row>
    <row r="987" spans="6:10" x14ac:dyDescent="0.25">
      <c r="F987" t="s">
        <v>97</v>
      </c>
      <c r="G987" s="7" cm="1">
        <f t="array" ref="G987">INT(planned(F987))</f>
        <v>138</v>
      </c>
      <c r="H987">
        <f>VLOOKUP(G987,Table4[[#All],[Cost Center]:[Client Type]],2,TRUE)</f>
        <v>6</v>
      </c>
      <c r="I987" t="str">
        <f>VLOOKUP(G987,Table4[[#All],[Cost Center]:[Client Type]],3,TRUE)</f>
        <v>Creek</v>
      </c>
      <c r="J987" t="str">
        <f>VLOOKUP(G987,Table4[[#All],[Cost Center]:[Client Type]],5,TRUE)</f>
        <v>Osama Mezayn</v>
      </c>
    </row>
    <row r="988" spans="6:10" x14ac:dyDescent="0.25">
      <c r="F988" t="s">
        <v>97</v>
      </c>
      <c r="G988" s="7" cm="1">
        <f t="array" ref="G988">INT(planned(F988))</f>
        <v>138</v>
      </c>
      <c r="H988">
        <f>VLOOKUP(G988,Table4[[#All],[Cost Center]:[Client Type]],2,TRUE)</f>
        <v>6</v>
      </c>
      <c r="I988" t="str">
        <f>VLOOKUP(G988,Table4[[#All],[Cost Center]:[Client Type]],3,TRUE)</f>
        <v>Creek</v>
      </c>
      <c r="J988" t="str">
        <f>VLOOKUP(G988,Table4[[#All],[Cost Center]:[Client Type]],5,TRUE)</f>
        <v>Osama Mezayn</v>
      </c>
    </row>
    <row r="989" spans="6:10" x14ac:dyDescent="0.25">
      <c r="F989" t="s">
        <v>97</v>
      </c>
      <c r="G989" s="7" cm="1">
        <f t="array" ref="G989">INT(planned(F989))</f>
        <v>138</v>
      </c>
      <c r="H989">
        <f>VLOOKUP(G989,Table4[[#All],[Cost Center]:[Client Type]],2,TRUE)</f>
        <v>6</v>
      </c>
      <c r="I989" t="str">
        <f>VLOOKUP(G989,Table4[[#All],[Cost Center]:[Client Type]],3,TRUE)</f>
        <v>Creek</v>
      </c>
      <c r="J989" t="str">
        <f>VLOOKUP(G989,Table4[[#All],[Cost Center]:[Client Type]],5,TRUE)</f>
        <v>Osama Mezayn</v>
      </c>
    </row>
    <row r="990" spans="6:10" x14ac:dyDescent="0.25">
      <c r="F990" t="s">
        <v>97</v>
      </c>
      <c r="G990" s="7" cm="1">
        <f t="array" ref="G990">INT(planned(F990))</f>
        <v>138</v>
      </c>
      <c r="H990">
        <f>VLOOKUP(G990,Table4[[#All],[Cost Center]:[Client Type]],2,TRUE)</f>
        <v>6</v>
      </c>
      <c r="I990" t="str">
        <f>VLOOKUP(G990,Table4[[#All],[Cost Center]:[Client Type]],3,TRUE)</f>
        <v>Creek</v>
      </c>
      <c r="J990" t="str">
        <f>VLOOKUP(G990,Table4[[#All],[Cost Center]:[Client Type]],5,TRUE)</f>
        <v>Osama Mezayn</v>
      </c>
    </row>
    <row r="991" spans="6:10" x14ac:dyDescent="0.25">
      <c r="F991" t="s">
        <v>97</v>
      </c>
      <c r="G991" s="7" cm="1">
        <f t="array" ref="G991">INT(planned(F991))</f>
        <v>138</v>
      </c>
      <c r="H991">
        <f>VLOOKUP(G991,Table4[[#All],[Cost Center]:[Client Type]],2,TRUE)</f>
        <v>6</v>
      </c>
      <c r="I991" t="str">
        <f>VLOOKUP(G991,Table4[[#All],[Cost Center]:[Client Type]],3,TRUE)</f>
        <v>Creek</v>
      </c>
      <c r="J991" t="str">
        <f>VLOOKUP(G991,Table4[[#All],[Cost Center]:[Client Type]],5,TRUE)</f>
        <v>Osama Mezayn</v>
      </c>
    </row>
    <row r="992" spans="6:10" x14ac:dyDescent="0.25">
      <c r="F992" t="s">
        <v>97</v>
      </c>
      <c r="G992" s="7" cm="1">
        <f t="array" ref="G992">INT(planned(F992))</f>
        <v>138</v>
      </c>
      <c r="H992">
        <f>VLOOKUP(G992,Table4[[#All],[Cost Center]:[Client Type]],2,TRUE)</f>
        <v>6</v>
      </c>
      <c r="I992" t="str">
        <f>VLOOKUP(G992,Table4[[#All],[Cost Center]:[Client Type]],3,TRUE)</f>
        <v>Creek</v>
      </c>
      <c r="J992" t="str">
        <f>VLOOKUP(G992,Table4[[#All],[Cost Center]:[Client Type]],5,TRUE)</f>
        <v>Osama Mezayn</v>
      </c>
    </row>
    <row r="993" spans="6:10" x14ac:dyDescent="0.25">
      <c r="F993" t="s">
        <v>97</v>
      </c>
      <c r="G993" s="7" cm="1">
        <f t="array" ref="G993">INT(planned(F993))</f>
        <v>138</v>
      </c>
      <c r="H993">
        <f>VLOOKUP(G993,Table4[[#All],[Cost Center]:[Client Type]],2,TRUE)</f>
        <v>6</v>
      </c>
      <c r="I993" t="str">
        <f>VLOOKUP(G993,Table4[[#All],[Cost Center]:[Client Type]],3,TRUE)</f>
        <v>Creek</v>
      </c>
      <c r="J993" t="str">
        <f>VLOOKUP(G993,Table4[[#All],[Cost Center]:[Client Type]],5,TRUE)</f>
        <v>Osama Mezayn</v>
      </c>
    </row>
    <row r="994" spans="6:10" x14ac:dyDescent="0.25">
      <c r="F994" t="s">
        <v>97</v>
      </c>
      <c r="G994" s="7" cm="1">
        <f t="array" ref="G994">INT(planned(F994))</f>
        <v>138</v>
      </c>
      <c r="H994">
        <f>VLOOKUP(G994,Table4[[#All],[Cost Center]:[Client Type]],2,TRUE)</f>
        <v>6</v>
      </c>
      <c r="I994" t="str">
        <f>VLOOKUP(G994,Table4[[#All],[Cost Center]:[Client Type]],3,TRUE)</f>
        <v>Creek</v>
      </c>
      <c r="J994" t="str">
        <f>VLOOKUP(G994,Table4[[#All],[Cost Center]:[Client Type]],5,TRUE)</f>
        <v>Osama Mezayn</v>
      </c>
    </row>
    <row r="995" spans="6:10" x14ac:dyDescent="0.25">
      <c r="F995" t="s">
        <v>97</v>
      </c>
      <c r="G995" s="7" cm="1">
        <f t="array" ref="G995">INT(planned(F995))</f>
        <v>138</v>
      </c>
      <c r="H995">
        <f>VLOOKUP(G995,Table4[[#All],[Cost Center]:[Client Type]],2,TRUE)</f>
        <v>6</v>
      </c>
      <c r="I995" t="str">
        <f>VLOOKUP(G995,Table4[[#All],[Cost Center]:[Client Type]],3,TRUE)</f>
        <v>Creek</v>
      </c>
      <c r="J995" t="str">
        <f>VLOOKUP(G995,Table4[[#All],[Cost Center]:[Client Type]],5,TRUE)</f>
        <v>Osama Mezayn</v>
      </c>
    </row>
    <row r="996" spans="6:10" x14ac:dyDescent="0.25">
      <c r="F996" t="s">
        <v>97</v>
      </c>
      <c r="G996" s="7" cm="1">
        <f t="array" ref="G996">INT(planned(F996))</f>
        <v>138</v>
      </c>
      <c r="H996">
        <f>VLOOKUP(G996,Table4[[#All],[Cost Center]:[Client Type]],2,TRUE)</f>
        <v>6</v>
      </c>
      <c r="I996" t="str">
        <f>VLOOKUP(G996,Table4[[#All],[Cost Center]:[Client Type]],3,TRUE)</f>
        <v>Creek</v>
      </c>
      <c r="J996" t="str">
        <f>VLOOKUP(G996,Table4[[#All],[Cost Center]:[Client Type]],5,TRUE)</f>
        <v>Osama Mezayn</v>
      </c>
    </row>
    <row r="997" spans="6:10" x14ac:dyDescent="0.25">
      <c r="F997" t="s">
        <v>97</v>
      </c>
      <c r="G997" s="7" cm="1">
        <f t="array" ref="G997">INT(planned(F997))</f>
        <v>138</v>
      </c>
      <c r="H997">
        <f>VLOOKUP(G997,Table4[[#All],[Cost Center]:[Client Type]],2,TRUE)</f>
        <v>6</v>
      </c>
      <c r="I997" t="str">
        <f>VLOOKUP(G997,Table4[[#All],[Cost Center]:[Client Type]],3,TRUE)</f>
        <v>Creek</v>
      </c>
      <c r="J997" t="str">
        <f>VLOOKUP(G997,Table4[[#All],[Cost Center]:[Client Type]],5,TRUE)</f>
        <v>Osama Mezayn</v>
      </c>
    </row>
    <row r="998" spans="6:10" x14ac:dyDescent="0.25">
      <c r="F998" t="s">
        <v>97</v>
      </c>
      <c r="G998" s="7" cm="1">
        <f t="array" ref="G998">INT(planned(F998))</f>
        <v>138</v>
      </c>
      <c r="H998">
        <f>VLOOKUP(G998,Table4[[#All],[Cost Center]:[Client Type]],2,TRUE)</f>
        <v>6</v>
      </c>
      <c r="I998" t="str">
        <f>VLOOKUP(G998,Table4[[#All],[Cost Center]:[Client Type]],3,TRUE)</f>
        <v>Creek</v>
      </c>
      <c r="J998" t="str">
        <f>VLOOKUP(G998,Table4[[#All],[Cost Center]:[Client Type]],5,TRUE)</f>
        <v>Osama Mezayn</v>
      </c>
    </row>
    <row r="999" spans="6:10" x14ac:dyDescent="0.25">
      <c r="F999" t="s">
        <v>97</v>
      </c>
      <c r="G999" s="7" cm="1">
        <f t="array" ref="G999">INT(planned(F999))</f>
        <v>138</v>
      </c>
      <c r="H999">
        <f>VLOOKUP(G999,Table4[[#All],[Cost Center]:[Client Type]],2,TRUE)</f>
        <v>6</v>
      </c>
      <c r="I999" t="str">
        <f>VLOOKUP(G999,Table4[[#All],[Cost Center]:[Client Type]],3,TRUE)</f>
        <v>Creek</v>
      </c>
      <c r="J999" t="str">
        <f>VLOOKUP(G999,Table4[[#All],[Cost Center]:[Client Type]],5,TRUE)</f>
        <v>Osama Mezayn</v>
      </c>
    </row>
    <row r="1000" spans="6:10" x14ac:dyDescent="0.25">
      <c r="F1000" t="s">
        <v>97</v>
      </c>
      <c r="G1000" s="7" cm="1">
        <f t="array" ref="G1000">INT(planned(F1000))</f>
        <v>138</v>
      </c>
      <c r="H1000">
        <f>VLOOKUP(G1000,Table4[[#All],[Cost Center]:[Client Type]],2,TRUE)</f>
        <v>6</v>
      </c>
      <c r="I1000" t="str">
        <f>VLOOKUP(G1000,Table4[[#All],[Cost Center]:[Client Type]],3,TRUE)</f>
        <v>Creek</v>
      </c>
      <c r="J1000" t="str">
        <f>VLOOKUP(G1000,Table4[[#All],[Cost Center]:[Client Type]],5,TRUE)</f>
        <v>Osama Mezayn</v>
      </c>
    </row>
    <row r="1001" spans="6:10" x14ac:dyDescent="0.25">
      <c r="F1001" t="s">
        <v>97</v>
      </c>
      <c r="G1001" s="7" cm="1">
        <f t="array" ref="G1001">INT(planned(F1001))</f>
        <v>138</v>
      </c>
      <c r="H1001">
        <f>VLOOKUP(G1001,Table4[[#All],[Cost Center]:[Client Type]],2,TRUE)</f>
        <v>6</v>
      </c>
      <c r="I1001" t="str">
        <f>VLOOKUP(G1001,Table4[[#All],[Cost Center]:[Client Type]],3,TRUE)</f>
        <v>Creek</v>
      </c>
      <c r="J1001" t="str">
        <f>VLOOKUP(G1001,Table4[[#All],[Cost Center]:[Client Type]],5,TRUE)</f>
        <v>Osama Mezayn</v>
      </c>
    </row>
    <row r="1002" spans="6:10" x14ac:dyDescent="0.25">
      <c r="F1002" t="s">
        <v>97</v>
      </c>
      <c r="G1002" s="7" cm="1">
        <f t="array" ref="G1002">INT(planned(F1002))</f>
        <v>138</v>
      </c>
      <c r="H1002">
        <f>VLOOKUP(G1002,Table4[[#All],[Cost Center]:[Client Type]],2,TRUE)</f>
        <v>6</v>
      </c>
      <c r="I1002" t="str">
        <f>VLOOKUP(G1002,Table4[[#All],[Cost Center]:[Client Type]],3,TRUE)</f>
        <v>Creek</v>
      </c>
      <c r="J1002" t="str">
        <f>VLOOKUP(G1002,Table4[[#All],[Cost Center]:[Client Type]],5,TRUE)</f>
        <v>Osama Mezayn</v>
      </c>
    </row>
    <row r="1003" spans="6:10" x14ac:dyDescent="0.25">
      <c r="F1003" t="s">
        <v>97</v>
      </c>
      <c r="G1003" s="7" cm="1">
        <f t="array" ref="G1003">INT(planned(F1003))</f>
        <v>138</v>
      </c>
      <c r="H1003">
        <f>VLOOKUP(G1003,Table4[[#All],[Cost Center]:[Client Type]],2,TRUE)</f>
        <v>6</v>
      </c>
      <c r="I1003" t="str">
        <f>VLOOKUP(G1003,Table4[[#All],[Cost Center]:[Client Type]],3,TRUE)</f>
        <v>Creek</v>
      </c>
      <c r="J1003" t="str">
        <f>VLOOKUP(G1003,Table4[[#All],[Cost Center]:[Client Type]],5,TRUE)</f>
        <v>Osama Mezayn</v>
      </c>
    </row>
    <row r="1004" spans="6:10" x14ac:dyDescent="0.25">
      <c r="F1004" t="s">
        <v>97</v>
      </c>
      <c r="G1004" s="7" cm="1">
        <f t="array" ref="G1004">INT(planned(F1004))</f>
        <v>138</v>
      </c>
      <c r="H1004">
        <f>VLOOKUP(G1004,Table4[[#All],[Cost Center]:[Client Type]],2,TRUE)</f>
        <v>6</v>
      </c>
      <c r="I1004" t="str">
        <f>VLOOKUP(G1004,Table4[[#All],[Cost Center]:[Client Type]],3,TRUE)</f>
        <v>Creek</v>
      </c>
      <c r="J1004" t="str">
        <f>VLOOKUP(G1004,Table4[[#All],[Cost Center]:[Client Type]],5,TRUE)</f>
        <v>Osama Mezayn</v>
      </c>
    </row>
    <row r="1005" spans="6:10" x14ac:dyDescent="0.25">
      <c r="F1005" t="s">
        <v>97</v>
      </c>
      <c r="G1005" s="7" cm="1">
        <f t="array" ref="G1005">INT(planned(F1005))</f>
        <v>138</v>
      </c>
      <c r="H1005">
        <f>VLOOKUP(G1005,Table4[[#All],[Cost Center]:[Client Type]],2,TRUE)</f>
        <v>6</v>
      </c>
      <c r="I1005" t="str">
        <f>VLOOKUP(G1005,Table4[[#All],[Cost Center]:[Client Type]],3,TRUE)</f>
        <v>Creek</v>
      </c>
      <c r="J1005" t="str">
        <f>VLOOKUP(G1005,Table4[[#All],[Cost Center]:[Client Type]],5,TRUE)</f>
        <v>Osama Mezayn</v>
      </c>
    </row>
    <row r="1006" spans="6:10" x14ac:dyDescent="0.25">
      <c r="F1006" t="s">
        <v>97</v>
      </c>
      <c r="G1006" s="7" cm="1">
        <f t="array" ref="G1006">INT(planned(F1006))</f>
        <v>138</v>
      </c>
      <c r="H1006">
        <f>VLOOKUP(G1006,Table4[[#All],[Cost Center]:[Client Type]],2,TRUE)</f>
        <v>6</v>
      </c>
      <c r="I1006" t="str">
        <f>VLOOKUP(G1006,Table4[[#All],[Cost Center]:[Client Type]],3,TRUE)</f>
        <v>Creek</v>
      </c>
      <c r="J1006" t="str">
        <f>VLOOKUP(G1006,Table4[[#All],[Cost Center]:[Client Type]],5,TRUE)</f>
        <v>Osama Mezayn</v>
      </c>
    </row>
    <row r="1007" spans="6:10" x14ac:dyDescent="0.25">
      <c r="F1007" t="s">
        <v>97</v>
      </c>
      <c r="G1007" s="7" cm="1">
        <f t="array" ref="G1007">INT(planned(F1007))</f>
        <v>138</v>
      </c>
      <c r="H1007">
        <f>VLOOKUP(G1007,Table4[[#All],[Cost Center]:[Client Type]],2,TRUE)</f>
        <v>6</v>
      </c>
      <c r="I1007" t="str">
        <f>VLOOKUP(G1007,Table4[[#All],[Cost Center]:[Client Type]],3,TRUE)</f>
        <v>Creek</v>
      </c>
      <c r="J1007" t="str">
        <f>VLOOKUP(G1007,Table4[[#All],[Cost Center]:[Client Type]],5,TRUE)</f>
        <v>Osama Mezayn</v>
      </c>
    </row>
    <row r="1008" spans="6:10" x14ac:dyDescent="0.25">
      <c r="F1008" t="s">
        <v>97</v>
      </c>
      <c r="G1008" s="7" cm="1">
        <f t="array" ref="G1008">INT(planned(F1008))</f>
        <v>138</v>
      </c>
      <c r="H1008">
        <f>VLOOKUP(G1008,Table4[[#All],[Cost Center]:[Client Type]],2,TRUE)</f>
        <v>6</v>
      </c>
      <c r="I1008" t="str">
        <f>VLOOKUP(G1008,Table4[[#All],[Cost Center]:[Client Type]],3,TRUE)</f>
        <v>Creek</v>
      </c>
      <c r="J1008" t="str">
        <f>VLOOKUP(G1008,Table4[[#All],[Cost Center]:[Client Type]],5,TRUE)</f>
        <v>Osama Mezayn</v>
      </c>
    </row>
    <row r="1009" spans="6:10" x14ac:dyDescent="0.25">
      <c r="F1009" t="s">
        <v>97</v>
      </c>
      <c r="G1009" s="7" cm="1">
        <f t="array" ref="G1009">INT(planned(F1009))</f>
        <v>138</v>
      </c>
      <c r="H1009">
        <f>VLOOKUP(G1009,Table4[[#All],[Cost Center]:[Client Type]],2,TRUE)</f>
        <v>6</v>
      </c>
      <c r="I1009" t="str">
        <f>VLOOKUP(G1009,Table4[[#All],[Cost Center]:[Client Type]],3,TRUE)</f>
        <v>Creek</v>
      </c>
      <c r="J1009" t="str">
        <f>VLOOKUP(G1009,Table4[[#All],[Cost Center]:[Client Type]],5,TRUE)</f>
        <v>Osama Mezayn</v>
      </c>
    </row>
    <row r="1010" spans="6:10" x14ac:dyDescent="0.25">
      <c r="F1010" t="s">
        <v>97</v>
      </c>
      <c r="G1010" s="7" cm="1">
        <f t="array" ref="G1010">INT(planned(F1010))</f>
        <v>138</v>
      </c>
      <c r="H1010">
        <f>VLOOKUP(G1010,Table4[[#All],[Cost Center]:[Client Type]],2,TRUE)</f>
        <v>6</v>
      </c>
      <c r="I1010" t="str">
        <f>VLOOKUP(G1010,Table4[[#All],[Cost Center]:[Client Type]],3,TRUE)</f>
        <v>Creek</v>
      </c>
      <c r="J1010" t="str">
        <f>VLOOKUP(G1010,Table4[[#All],[Cost Center]:[Client Type]],5,TRUE)</f>
        <v>Osama Mezayn</v>
      </c>
    </row>
    <row r="1011" spans="6:10" x14ac:dyDescent="0.25">
      <c r="F1011" t="s">
        <v>97</v>
      </c>
      <c r="G1011" s="7" cm="1">
        <f t="array" ref="G1011">INT(planned(F1011))</f>
        <v>138</v>
      </c>
      <c r="H1011">
        <f>VLOOKUP(G1011,Table4[[#All],[Cost Center]:[Client Type]],2,TRUE)</f>
        <v>6</v>
      </c>
      <c r="I1011" t="str">
        <f>VLOOKUP(G1011,Table4[[#All],[Cost Center]:[Client Type]],3,TRUE)</f>
        <v>Creek</v>
      </c>
      <c r="J1011" t="str">
        <f>VLOOKUP(G1011,Table4[[#All],[Cost Center]:[Client Type]],5,TRUE)</f>
        <v>Osama Mezayn</v>
      </c>
    </row>
    <row r="1012" spans="6:10" x14ac:dyDescent="0.25">
      <c r="F1012" t="s">
        <v>97</v>
      </c>
      <c r="G1012" s="7" cm="1">
        <f t="array" ref="G1012">INT(planned(F1012))</f>
        <v>138</v>
      </c>
      <c r="H1012">
        <f>VLOOKUP(G1012,Table4[[#All],[Cost Center]:[Client Type]],2,TRUE)</f>
        <v>6</v>
      </c>
      <c r="I1012" t="str">
        <f>VLOOKUP(G1012,Table4[[#All],[Cost Center]:[Client Type]],3,TRUE)</f>
        <v>Creek</v>
      </c>
      <c r="J1012" t="str">
        <f>VLOOKUP(G1012,Table4[[#All],[Cost Center]:[Client Type]],5,TRUE)</f>
        <v>Osama Mezayn</v>
      </c>
    </row>
    <row r="1013" spans="6:10" x14ac:dyDescent="0.25">
      <c r="F1013" t="s">
        <v>97</v>
      </c>
      <c r="G1013" s="7" cm="1">
        <f t="array" ref="G1013">INT(planned(F1013))</f>
        <v>138</v>
      </c>
      <c r="H1013">
        <f>VLOOKUP(G1013,Table4[[#All],[Cost Center]:[Client Type]],2,TRUE)</f>
        <v>6</v>
      </c>
      <c r="I1013" t="str">
        <f>VLOOKUP(G1013,Table4[[#All],[Cost Center]:[Client Type]],3,TRUE)</f>
        <v>Creek</v>
      </c>
      <c r="J1013" t="str">
        <f>VLOOKUP(G1013,Table4[[#All],[Cost Center]:[Client Type]],5,TRUE)</f>
        <v>Osama Mezayn</v>
      </c>
    </row>
    <row r="1014" spans="6:10" x14ac:dyDescent="0.25">
      <c r="F1014" t="s">
        <v>97</v>
      </c>
      <c r="G1014" s="7" cm="1">
        <f t="array" ref="G1014">INT(planned(F1014))</f>
        <v>138</v>
      </c>
      <c r="H1014">
        <f>VLOOKUP(G1014,Table4[[#All],[Cost Center]:[Client Type]],2,TRUE)</f>
        <v>6</v>
      </c>
      <c r="I1014" t="str">
        <f>VLOOKUP(G1014,Table4[[#All],[Cost Center]:[Client Type]],3,TRUE)</f>
        <v>Creek</v>
      </c>
      <c r="J1014" t="str">
        <f>VLOOKUP(G1014,Table4[[#All],[Cost Center]:[Client Type]],5,TRUE)</f>
        <v>Osama Mezayn</v>
      </c>
    </row>
    <row r="1015" spans="6:10" x14ac:dyDescent="0.25">
      <c r="F1015" t="s">
        <v>97</v>
      </c>
      <c r="G1015" s="7" cm="1">
        <f t="array" ref="G1015">INT(planned(F1015))</f>
        <v>138</v>
      </c>
      <c r="H1015">
        <f>VLOOKUP(G1015,Table4[[#All],[Cost Center]:[Client Type]],2,TRUE)</f>
        <v>6</v>
      </c>
      <c r="I1015" t="str">
        <f>VLOOKUP(G1015,Table4[[#All],[Cost Center]:[Client Type]],3,TRUE)</f>
        <v>Creek</v>
      </c>
      <c r="J1015" t="str">
        <f>VLOOKUP(G1015,Table4[[#All],[Cost Center]:[Client Type]],5,TRUE)</f>
        <v>Osama Mezayn</v>
      </c>
    </row>
    <row r="1016" spans="6:10" x14ac:dyDescent="0.25">
      <c r="F1016" t="s">
        <v>97</v>
      </c>
      <c r="G1016" s="7" cm="1">
        <f t="array" ref="G1016">INT(planned(F1016))</f>
        <v>138</v>
      </c>
      <c r="H1016">
        <f>VLOOKUP(G1016,Table4[[#All],[Cost Center]:[Client Type]],2,TRUE)</f>
        <v>6</v>
      </c>
      <c r="I1016" t="str">
        <f>VLOOKUP(G1016,Table4[[#All],[Cost Center]:[Client Type]],3,TRUE)</f>
        <v>Creek</v>
      </c>
      <c r="J1016" t="str">
        <f>VLOOKUP(G1016,Table4[[#All],[Cost Center]:[Client Type]],5,TRUE)</f>
        <v>Osama Mezayn</v>
      </c>
    </row>
    <row r="1017" spans="6:10" x14ac:dyDescent="0.25">
      <c r="F1017" t="s">
        <v>97</v>
      </c>
      <c r="G1017" s="7" cm="1">
        <f t="array" ref="G1017">INT(planned(F1017))</f>
        <v>138</v>
      </c>
      <c r="H1017">
        <f>VLOOKUP(G1017,Table4[[#All],[Cost Center]:[Client Type]],2,TRUE)</f>
        <v>6</v>
      </c>
      <c r="I1017" t="str">
        <f>VLOOKUP(G1017,Table4[[#All],[Cost Center]:[Client Type]],3,TRUE)</f>
        <v>Creek</v>
      </c>
      <c r="J1017" t="str">
        <f>VLOOKUP(G1017,Table4[[#All],[Cost Center]:[Client Type]],5,TRUE)</f>
        <v>Osama Mezayn</v>
      </c>
    </row>
    <row r="1018" spans="6:10" x14ac:dyDescent="0.25">
      <c r="F1018" t="s">
        <v>97</v>
      </c>
      <c r="G1018" s="7" cm="1">
        <f t="array" ref="G1018">INT(planned(F1018))</f>
        <v>138</v>
      </c>
      <c r="H1018">
        <f>VLOOKUP(G1018,Table4[[#All],[Cost Center]:[Client Type]],2,TRUE)</f>
        <v>6</v>
      </c>
      <c r="I1018" t="str">
        <f>VLOOKUP(G1018,Table4[[#All],[Cost Center]:[Client Type]],3,TRUE)</f>
        <v>Creek</v>
      </c>
      <c r="J1018" t="str">
        <f>VLOOKUP(G1018,Table4[[#All],[Cost Center]:[Client Type]],5,TRUE)</f>
        <v>Osama Mezayn</v>
      </c>
    </row>
    <row r="1019" spans="6:10" x14ac:dyDescent="0.25">
      <c r="F1019" t="s">
        <v>97</v>
      </c>
      <c r="G1019" s="7" cm="1">
        <f t="array" ref="G1019">INT(planned(F1019))</f>
        <v>138</v>
      </c>
      <c r="H1019">
        <f>VLOOKUP(G1019,Table4[[#All],[Cost Center]:[Client Type]],2,TRUE)</f>
        <v>6</v>
      </c>
      <c r="I1019" t="str">
        <f>VLOOKUP(G1019,Table4[[#All],[Cost Center]:[Client Type]],3,TRUE)</f>
        <v>Creek</v>
      </c>
      <c r="J1019" t="str">
        <f>VLOOKUP(G1019,Table4[[#All],[Cost Center]:[Client Type]],5,TRUE)</f>
        <v>Osama Mezayn</v>
      </c>
    </row>
    <row r="1020" spans="6:10" x14ac:dyDescent="0.25">
      <c r="F1020" t="s">
        <v>97</v>
      </c>
      <c r="G1020" s="7" cm="1">
        <f t="array" ref="G1020">INT(planned(F1020))</f>
        <v>138</v>
      </c>
      <c r="H1020">
        <f>VLOOKUP(G1020,Table4[[#All],[Cost Center]:[Client Type]],2,TRUE)</f>
        <v>6</v>
      </c>
      <c r="I1020" t="str">
        <f>VLOOKUP(G1020,Table4[[#All],[Cost Center]:[Client Type]],3,TRUE)</f>
        <v>Creek</v>
      </c>
      <c r="J1020" t="str">
        <f>VLOOKUP(G1020,Table4[[#All],[Cost Center]:[Client Type]],5,TRUE)</f>
        <v>Osama Mezayn</v>
      </c>
    </row>
    <row r="1021" spans="6:10" x14ac:dyDescent="0.25">
      <c r="F1021" t="s">
        <v>97</v>
      </c>
      <c r="G1021" s="7" cm="1">
        <f t="array" ref="G1021">INT(planned(F1021))</f>
        <v>138</v>
      </c>
      <c r="H1021">
        <f>VLOOKUP(G1021,Table4[[#All],[Cost Center]:[Client Type]],2,TRUE)</f>
        <v>6</v>
      </c>
      <c r="I1021" t="str">
        <f>VLOOKUP(G1021,Table4[[#All],[Cost Center]:[Client Type]],3,TRUE)</f>
        <v>Creek</v>
      </c>
      <c r="J1021" t="str">
        <f>VLOOKUP(G1021,Table4[[#All],[Cost Center]:[Client Type]],5,TRUE)</f>
        <v>Osama Mezayn</v>
      </c>
    </row>
    <row r="1022" spans="6:10" x14ac:dyDescent="0.25">
      <c r="F1022" t="s">
        <v>97</v>
      </c>
      <c r="G1022" s="7" cm="1">
        <f t="array" ref="G1022">INT(planned(F1022))</f>
        <v>138</v>
      </c>
      <c r="H1022">
        <f>VLOOKUP(G1022,Table4[[#All],[Cost Center]:[Client Type]],2,TRUE)</f>
        <v>6</v>
      </c>
      <c r="I1022" t="str">
        <f>VLOOKUP(G1022,Table4[[#All],[Cost Center]:[Client Type]],3,TRUE)</f>
        <v>Creek</v>
      </c>
      <c r="J1022" t="str">
        <f>VLOOKUP(G1022,Table4[[#All],[Cost Center]:[Client Type]],5,TRUE)</f>
        <v>Osama Mezayn</v>
      </c>
    </row>
    <row r="1023" spans="6:10" x14ac:dyDescent="0.25">
      <c r="F1023" t="s">
        <v>97</v>
      </c>
      <c r="G1023" s="7" cm="1">
        <f t="array" ref="G1023">INT(planned(F1023))</f>
        <v>138</v>
      </c>
      <c r="H1023">
        <f>VLOOKUP(G1023,Table4[[#All],[Cost Center]:[Client Type]],2,TRUE)</f>
        <v>6</v>
      </c>
      <c r="I1023" t="str">
        <f>VLOOKUP(G1023,Table4[[#All],[Cost Center]:[Client Type]],3,TRUE)</f>
        <v>Creek</v>
      </c>
      <c r="J1023" t="str">
        <f>VLOOKUP(G1023,Table4[[#All],[Cost Center]:[Client Type]],5,TRUE)</f>
        <v>Osama Mezayn</v>
      </c>
    </row>
    <row r="1024" spans="6:10" x14ac:dyDescent="0.25">
      <c r="F1024" t="s">
        <v>97</v>
      </c>
      <c r="G1024" s="7" cm="1">
        <f t="array" ref="G1024">INT(planned(F1024))</f>
        <v>138</v>
      </c>
      <c r="H1024">
        <f>VLOOKUP(G1024,Table4[[#All],[Cost Center]:[Client Type]],2,TRUE)</f>
        <v>6</v>
      </c>
      <c r="I1024" t="str">
        <f>VLOOKUP(G1024,Table4[[#All],[Cost Center]:[Client Type]],3,TRUE)</f>
        <v>Creek</v>
      </c>
      <c r="J1024" t="str">
        <f>VLOOKUP(G1024,Table4[[#All],[Cost Center]:[Client Type]],5,TRUE)</f>
        <v>Osama Mezayn</v>
      </c>
    </row>
    <row r="1025" spans="6:10" x14ac:dyDescent="0.25">
      <c r="F1025" t="s">
        <v>97</v>
      </c>
      <c r="G1025" s="7" cm="1">
        <f t="array" ref="G1025">INT(planned(F1025))</f>
        <v>138</v>
      </c>
      <c r="H1025">
        <f>VLOOKUP(G1025,Table4[[#All],[Cost Center]:[Client Type]],2,TRUE)</f>
        <v>6</v>
      </c>
      <c r="I1025" t="str">
        <f>VLOOKUP(G1025,Table4[[#All],[Cost Center]:[Client Type]],3,TRUE)</f>
        <v>Creek</v>
      </c>
      <c r="J1025" t="str">
        <f>VLOOKUP(G1025,Table4[[#All],[Cost Center]:[Client Type]],5,TRUE)</f>
        <v>Osama Mezayn</v>
      </c>
    </row>
    <row r="1026" spans="6:10" x14ac:dyDescent="0.25">
      <c r="F1026" t="s">
        <v>97</v>
      </c>
      <c r="G1026" s="7" cm="1">
        <f t="array" ref="G1026">INT(planned(F1026))</f>
        <v>138</v>
      </c>
      <c r="H1026">
        <f>VLOOKUP(G1026,Table4[[#All],[Cost Center]:[Client Type]],2,TRUE)</f>
        <v>6</v>
      </c>
      <c r="I1026" t="str">
        <f>VLOOKUP(G1026,Table4[[#All],[Cost Center]:[Client Type]],3,TRUE)</f>
        <v>Creek</v>
      </c>
      <c r="J1026" t="str">
        <f>VLOOKUP(G1026,Table4[[#All],[Cost Center]:[Client Type]],5,TRUE)</f>
        <v>Osama Mezayn</v>
      </c>
    </row>
    <row r="1027" spans="6:10" x14ac:dyDescent="0.25">
      <c r="F1027" t="s">
        <v>97</v>
      </c>
      <c r="G1027" s="7" cm="1">
        <f t="array" ref="G1027">INT(planned(F1027))</f>
        <v>138</v>
      </c>
      <c r="H1027">
        <f>VLOOKUP(G1027,Table4[[#All],[Cost Center]:[Client Type]],2,TRUE)</f>
        <v>6</v>
      </c>
      <c r="I1027" t="str">
        <f>VLOOKUP(G1027,Table4[[#All],[Cost Center]:[Client Type]],3,TRUE)</f>
        <v>Creek</v>
      </c>
      <c r="J1027" t="str">
        <f>VLOOKUP(G1027,Table4[[#All],[Cost Center]:[Client Type]],5,TRUE)</f>
        <v>Osama Mezayn</v>
      </c>
    </row>
    <row r="1028" spans="6:10" x14ac:dyDescent="0.25">
      <c r="F1028" t="s">
        <v>97</v>
      </c>
      <c r="G1028" s="7" cm="1">
        <f t="array" ref="G1028">INT(planned(F1028))</f>
        <v>138</v>
      </c>
      <c r="H1028">
        <f>VLOOKUP(G1028,Table4[[#All],[Cost Center]:[Client Type]],2,TRUE)</f>
        <v>6</v>
      </c>
      <c r="I1028" t="str">
        <f>VLOOKUP(G1028,Table4[[#All],[Cost Center]:[Client Type]],3,TRUE)</f>
        <v>Creek</v>
      </c>
      <c r="J1028" t="str">
        <f>VLOOKUP(G1028,Table4[[#All],[Cost Center]:[Client Type]],5,TRUE)</f>
        <v>Osama Mezayn</v>
      </c>
    </row>
    <row r="1029" spans="6:10" x14ac:dyDescent="0.25">
      <c r="F1029" t="s">
        <v>97</v>
      </c>
      <c r="G1029" s="7" cm="1">
        <f t="array" ref="G1029">INT(planned(F1029))</f>
        <v>138</v>
      </c>
      <c r="H1029">
        <f>VLOOKUP(G1029,Table4[[#All],[Cost Center]:[Client Type]],2,TRUE)</f>
        <v>6</v>
      </c>
      <c r="I1029" t="str">
        <f>VLOOKUP(G1029,Table4[[#All],[Cost Center]:[Client Type]],3,TRUE)</f>
        <v>Creek</v>
      </c>
      <c r="J1029" t="str">
        <f>VLOOKUP(G1029,Table4[[#All],[Cost Center]:[Client Type]],5,TRUE)</f>
        <v>Osama Mezayn</v>
      </c>
    </row>
    <row r="1030" spans="6:10" x14ac:dyDescent="0.25">
      <c r="F1030" t="s">
        <v>97</v>
      </c>
      <c r="G1030" s="7" cm="1">
        <f t="array" ref="G1030">INT(planned(F1030))</f>
        <v>138</v>
      </c>
      <c r="H1030">
        <f>VLOOKUP(G1030,Table4[[#All],[Cost Center]:[Client Type]],2,TRUE)</f>
        <v>6</v>
      </c>
      <c r="I1030" t="str">
        <f>VLOOKUP(G1030,Table4[[#All],[Cost Center]:[Client Type]],3,TRUE)</f>
        <v>Creek</v>
      </c>
      <c r="J1030" t="str">
        <f>VLOOKUP(G1030,Table4[[#All],[Cost Center]:[Client Type]],5,TRUE)</f>
        <v>Osama Mezayn</v>
      </c>
    </row>
    <row r="1031" spans="6:10" x14ac:dyDescent="0.25">
      <c r="F1031" t="s">
        <v>97</v>
      </c>
      <c r="G1031" s="7" cm="1">
        <f t="array" ref="G1031">INT(planned(F1031))</f>
        <v>138</v>
      </c>
      <c r="H1031">
        <f>VLOOKUP(G1031,Table4[[#All],[Cost Center]:[Client Type]],2,TRUE)</f>
        <v>6</v>
      </c>
      <c r="I1031" t="str">
        <f>VLOOKUP(G1031,Table4[[#All],[Cost Center]:[Client Type]],3,TRUE)</f>
        <v>Creek</v>
      </c>
      <c r="J1031" t="str">
        <f>VLOOKUP(G1031,Table4[[#All],[Cost Center]:[Client Type]],5,TRUE)</f>
        <v>Osama Mezayn</v>
      </c>
    </row>
    <row r="1032" spans="6:10" x14ac:dyDescent="0.25">
      <c r="F1032" t="s">
        <v>97</v>
      </c>
      <c r="G1032" s="7" cm="1">
        <f t="array" ref="G1032">INT(planned(F1032))</f>
        <v>138</v>
      </c>
      <c r="H1032">
        <f>VLOOKUP(G1032,Table4[[#All],[Cost Center]:[Client Type]],2,TRUE)</f>
        <v>6</v>
      </c>
      <c r="I1032" t="str">
        <f>VLOOKUP(G1032,Table4[[#All],[Cost Center]:[Client Type]],3,TRUE)</f>
        <v>Creek</v>
      </c>
      <c r="J1032" t="str">
        <f>VLOOKUP(G1032,Table4[[#All],[Cost Center]:[Client Type]],5,TRUE)</f>
        <v>Osama Mezayn</v>
      </c>
    </row>
    <row r="1033" spans="6:10" x14ac:dyDescent="0.25">
      <c r="F1033" t="s">
        <v>97</v>
      </c>
      <c r="G1033" s="7" cm="1">
        <f t="array" ref="G1033">INT(planned(F1033))</f>
        <v>138</v>
      </c>
      <c r="H1033">
        <f>VLOOKUP(G1033,Table4[[#All],[Cost Center]:[Client Type]],2,TRUE)</f>
        <v>6</v>
      </c>
      <c r="I1033" t="str">
        <f>VLOOKUP(G1033,Table4[[#All],[Cost Center]:[Client Type]],3,TRUE)</f>
        <v>Creek</v>
      </c>
      <c r="J1033" t="str">
        <f>VLOOKUP(G1033,Table4[[#All],[Cost Center]:[Client Type]],5,TRUE)</f>
        <v>Osama Mezayn</v>
      </c>
    </row>
    <row r="1034" spans="6:10" x14ac:dyDescent="0.25">
      <c r="F1034" t="s">
        <v>97</v>
      </c>
      <c r="G1034" s="7" cm="1">
        <f t="array" ref="G1034">INT(planned(F1034))</f>
        <v>138</v>
      </c>
      <c r="H1034">
        <f>VLOOKUP(G1034,Table4[[#All],[Cost Center]:[Client Type]],2,TRUE)</f>
        <v>6</v>
      </c>
      <c r="I1034" t="str">
        <f>VLOOKUP(G1034,Table4[[#All],[Cost Center]:[Client Type]],3,TRUE)</f>
        <v>Creek</v>
      </c>
      <c r="J1034" t="str">
        <f>VLOOKUP(G1034,Table4[[#All],[Cost Center]:[Client Type]],5,TRUE)</f>
        <v>Osama Mezayn</v>
      </c>
    </row>
    <row r="1035" spans="6:10" x14ac:dyDescent="0.25">
      <c r="F1035" t="s">
        <v>97</v>
      </c>
      <c r="G1035" s="7" cm="1">
        <f t="array" ref="G1035">INT(planned(F1035))</f>
        <v>138</v>
      </c>
      <c r="H1035">
        <f>VLOOKUP(G1035,Table4[[#All],[Cost Center]:[Client Type]],2,TRUE)</f>
        <v>6</v>
      </c>
      <c r="I1035" t="str">
        <f>VLOOKUP(G1035,Table4[[#All],[Cost Center]:[Client Type]],3,TRUE)</f>
        <v>Creek</v>
      </c>
      <c r="J1035" t="str">
        <f>VLOOKUP(G1035,Table4[[#All],[Cost Center]:[Client Type]],5,TRUE)</f>
        <v>Osama Mezayn</v>
      </c>
    </row>
    <row r="1036" spans="6:10" x14ac:dyDescent="0.25">
      <c r="F1036" t="s">
        <v>97</v>
      </c>
      <c r="G1036" s="7" cm="1">
        <f t="array" ref="G1036">INT(planned(F1036))</f>
        <v>138</v>
      </c>
      <c r="H1036">
        <f>VLOOKUP(G1036,Table4[[#All],[Cost Center]:[Client Type]],2,TRUE)</f>
        <v>6</v>
      </c>
      <c r="I1036" t="str">
        <f>VLOOKUP(G1036,Table4[[#All],[Cost Center]:[Client Type]],3,TRUE)</f>
        <v>Creek</v>
      </c>
      <c r="J1036" t="str">
        <f>VLOOKUP(G1036,Table4[[#All],[Cost Center]:[Client Type]],5,TRUE)</f>
        <v>Osama Mezayn</v>
      </c>
    </row>
    <row r="1037" spans="6:10" x14ac:dyDescent="0.25">
      <c r="F1037" t="s">
        <v>97</v>
      </c>
      <c r="G1037" s="7" cm="1">
        <f t="array" ref="G1037">INT(planned(F1037))</f>
        <v>138</v>
      </c>
      <c r="H1037">
        <f>VLOOKUP(G1037,Table4[[#All],[Cost Center]:[Client Type]],2,TRUE)</f>
        <v>6</v>
      </c>
      <c r="I1037" t="str">
        <f>VLOOKUP(G1037,Table4[[#All],[Cost Center]:[Client Type]],3,TRUE)</f>
        <v>Creek</v>
      </c>
      <c r="J1037" t="str">
        <f>VLOOKUP(G1037,Table4[[#All],[Cost Center]:[Client Type]],5,TRUE)</f>
        <v>Osama Mezayn</v>
      </c>
    </row>
    <row r="1038" spans="6:10" x14ac:dyDescent="0.25">
      <c r="F1038" t="s">
        <v>97</v>
      </c>
      <c r="G1038" s="7" cm="1">
        <f t="array" ref="G1038">INT(planned(F1038))</f>
        <v>138</v>
      </c>
      <c r="H1038">
        <f>VLOOKUP(G1038,Table4[[#All],[Cost Center]:[Client Type]],2,TRUE)</f>
        <v>6</v>
      </c>
      <c r="I1038" t="str">
        <f>VLOOKUP(G1038,Table4[[#All],[Cost Center]:[Client Type]],3,TRUE)</f>
        <v>Creek</v>
      </c>
      <c r="J1038" t="str">
        <f>VLOOKUP(G1038,Table4[[#All],[Cost Center]:[Client Type]],5,TRUE)</f>
        <v>Osama Mezayn</v>
      </c>
    </row>
    <row r="1039" spans="6:10" x14ac:dyDescent="0.25">
      <c r="F1039" t="s">
        <v>97</v>
      </c>
      <c r="G1039" s="7" cm="1">
        <f t="array" ref="G1039">INT(planned(F1039))</f>
        <v>138</v>
      </c>
      <c r="H1039">
        <f>VLOOKUP(G1039,Table4[[#All],[Cost Center]:[Client Type]],2,TRUE)</f>
        <v>6</v>
      </c>
      <c r="I1039" t="str">
        <f>VLOOKUP(G1039,Table4[[#All],[Cost Center]:[Client Type]],3,TRUE)</f>
        <v>Creek</v>
      </c>
      <c r="J1039" t="str">
        <f>VLOOKUP(G1039,Table4[[#All],[Cost Center]:[Client Type]],5,TRUE)</f>
        <v>Osama Mezayn</v>
      </c>
    </row>
    <row r="1040" spans="6:10" x14ac:dyDescent="0.25">
      <c r="F1040" t="s">
        <v>97</v>
      </c>
      <c r="G1040" s="7" cm="1">
        <f t="array" ref="G1040">INT(planned(F1040))</f>
        <v>138</v>
      </c>
      <c r="H1040">
        <f>VLOOKUP(G1040,Table4[[#All],[Cost Center]:[Client Type]],2,TRUE)</f>
        <v>6</v>
      </c>
      <c r="I1040" t="str">
        <f>VLOOKUP(G1040,Table4[[#All],[Cost Center]:[Client Type]],3,TRUE)</f>
        <v>Creek</v>
      </c>
      <c r="J1040" t="str">
        <f>VLOOKUP(G1040,Table4[[#All],[Cost Center]:[Client Type]],5,TRUE)</f>
        <v>Osama Mezayn</v>
      </c>
    </row>
    <row r="1041" spans="6:10" x14ac:dyDescent="0.25">
      <c r="F1041" t="s">
        <v>97</v>
      </c>
      <c r="G1041" s="7" cm="1">
        <f t="array" ref="G1041">INT(planned(F1041))</f>
        <v>138</v>
      </c>
      <c r="H1041">
        <f>VLOOKUP(G1041,Table4[[#All],[Cost Center]:[Client Type]],2,TRUE)</f>
        <v>6</v>
      </c>
      <c r="I1041" t="str">
        <f>VLOOKUP(G1041,Table4[[#All],[Cost Center]:[Client Type]],3,TRUE)</f>
        <v>Creek</v>
      </c>
      <c r="J1041" t="str">
        <f>VLOOKUP(G1041,Table4[[#All],[Cost Center]:[Client Type]],5,TRUE)</f>
        <v>Osama Mezayn</v>
      </c>
    </row>
    <row r="1042" spans="6:10" x14ac:dyDescent="0.25">
      <c r="F1042" t="s">
        <v>97</v>
      </c>
      <c r="G1042" s="7" cm="1">
        <f t="array" ref="G1042">INT(planned(F1042))</f>
        <v>138</v>
      </c>
      <c r="H1042">
        <f>VLOOKUP(G1042,Table4[[#All],[Cost Center]:[Client Type]],2,TRUE)</f>
        <v>6</v>
      </c>
      <c r="I1042" t="str">
        <f>VLOOKUP(G1042,Table4[[#All],[Cost Center]:[Client Type]],3,TRUE)</f>
        <v>Creek</v>
      </c>
      <c r="J1042" t="str">
        <f>VLOOKUP(G1042,Table4[[#All],[Cost Center]:[Client Type]],5,TRUE)</f>
        <v>Osama Mezayn</v>
      </c>
    </row>
    <row r="1043" spans="6:10" x14ac:dyDescent="0.25">
      <c r="F1043" t="s">
        <v>97</v>
      </c>
      <c r="G1043" s="7" cm="1">
        <f t="array" ref="G1043">INT(planned(F1043))</f>
        <v>138</v>
      </c>
      <c r="H1043">
        <f>VLOOKUP(G1043,Table4[[#All],[Cost Center]:[Client Type]],2,TRUE)</f>
        <v>6</v>
      </c>
      <c r="I1043" t="str">
        <f>VLOOKUP(G1043,Table4[[#All],[Cost Center]:[Client Type]],3,TRUE)</f>
        <v>Creek</v>
      </c>
      <c r="J1043" t="str">
        <f>VLOOKUP(G1043,Table4[[#All],[Cost Center]:[Client Type]],5,TRUE)</f>
        <v>Osama Mezayn</v>
      </c>
    </row>
    <row r="1044" spans="6:10" x14ac:dyDescent="0.25">
      <c r="F1044" t="s">
        <v>97</v>
      </c>
      <c r="G1044" s="7" cm="1">
        <f t="array" ref="G1044">INT(planned(F1044))</f>
        <v>138</v>
      </c>
      <c r="H1044">
        <f>VLOOKUP(G1044,Table4[[#All],[Cost Center]:[Client Type]],2,TRUE)</f>
        <v>6</v>
      </c>
      <c r="I1044" t="str">
        <f>VLOOKUP(G1044,Table4[[#All],[Cost Center]:[Client Type]],3,TRUE)</f>
        <v>Creek</v>
      </c>
      <c r="J1044" t="str">
        <f>VLOOKUP(G1044,Table4[[#All],[Cost Center]:[Client Type]],5,TRUE)</f>
        <v>Osama Mezayn</v>
      </c>
    </row>
    <row r="1045" spans="6:10" x14ac:dyDescent="0.25">
      <c r="F1045" t="s">
        <v>97</v>
      </c>
      <c r="G1045" s="7" cm="1">
        <f t="array" ref="G1045">INT(planned(F1045))</f>
        <v>138</v>
      </c>
      <c r="H1045">
        <f>VLOOKUP(G1045,Table4[[#All],[Cost Center]:[Client Type]],2,TRUE)</f>
        <v>6</v>
      </c>
      <c r="I1045" t="str">
        <f>VLOOKUP(G1045,Table4[[#All],[Cost Center]:[Client Type]],3,TRUE)</f>
        <v>Creek</v>
      </c>
      <c r="J1045" t="str">
        <f>VLOOKUP(G1045,Table4[[#All],[Cost Center]:[Client Type]],5,TRUE)</f>
        <v>Osama Mezayn</v>
      </c>
    </row>
    <row r="1046" spans="6:10" x14ac:dyDescent="0.25">
      <c r="F1046" t="s">
        <v>97</v>
      </c>
      <c r="G1046" s="7" cm="1">
        <f t="array" ref="G1046">INT(planned(F1046))</f>
        <v>138</v>
      </c>
      <c r="H1046">
        <f>VLOOKUP(G1046,Table4[[#All],[Cost Center]:[Client Type]],2,TRUE)</f>
        <v>6</v>
      </c>
      <c r="I1046" t="str">
        <f>VLOOKUP(G1046,Table4[[#All],[Cost Center]:[Client Type]],3,TRUE)</f>
        <v>Creek</v>
      </c>
      <c r="J1046" t="str">
        <f>VLOOKUP(G1046,Table4[[#All],[Cost Center]:[Client Type]],5,TRUE)</f>
        <v>Osama Mezayn</v>
      </c>
    </row>
    <row r="1047" spans="6:10" x14ac:dyDescent="0.25">
      <c r="F1047" t="s">
        <v>97</v>
      </c>
      <c r="G1047" s="7" cm="1">
        <f t="array" ref="G1047">INT(planned(F1047))</f>
        <v>138</v>
      </c>
      <c r="H1047">
        <f>VLOOKUP(G1047,Table4[[#All],[Cost Center]:[Client Type]],2,TRUE)</f>
        <v>6</v>
      </c>
      <c r="I1047" t="str">
        <f>VLOOKUP(G1047,Table4[[#All],[Cost Center]:[Client Type]],3,TRUE)</f>
        <v>Creek</v>
      </c>
      <c r="J1047" t="str">
        <f>VLOOKUP(G1047,Table4[[#All],[Cost Center]:[Client Type]],5,TRUE)</f>
        <v>Osama Mezayn</v>
      </c>
    </row>
    <row r="1048" spans="6:10" x14ac:dyDescent="0.25">
      <c r="F1048" t="s">
        <v>97</v>
      </c>
      <c r="G1048" s="7" cm="1">
        <f t="array" ref="G1048">INT(planned(F1048))</f>
        <v>138</v>
      </c>
      <c r="H1048">
        <f>VLOOKUP(G1048,Table4[[#All],[Cost Center]:[Client Type]],2,TRUE)</f>
        <v>6</v>
      </c>
      <c r="I1048" t="str">
        <f>VLOOKUP(G1048,Table4[[#All],[Cost Center]:[Client Type]],3,TRUE)</f>
        <v>Creek</v>
      </c>
      <c r="J1048" t="str">
        <f>VLOOKUP(G1048,Table4[[#All],[Cost Center]:[Client Type]],5,TRUE)</f>
        <v>Osama Mezayn</v>
      </c>
    </row>
    <row r="1049" spans="6:10" x14ac:dyDescent="0.25">
      <c r="F1049" t="s">
        <v>97</v>
      </c>
      <c r="G1049" s="7" cm="1">
        <f t="array" ref="G1049">INT(planned(F1049))</f>
        <v>138</v>
      </c>
      <c r="H1049">
        <f>VLOOKUP(G1049,Table4[[#All],[Cost Center]:[Client Type]],2,TRUE)</f>
        <v>6</v>
      </c>
      <c r="I1049" t="str">
        <f>VLOOKUP(G1049,Table4[[#All],[Cost Center]:[Client Type]],3,TRUE)</f>
        <v>Creek</v>
      </c>
      <c r="J1049" t="str">
        <f>VLOOKUP(G1049,Table4[[#All],[Cost Center]:[Client Type]],5,TRUE)</f>
        <v>Osama Mezayn</v>
      </c>
    </row>
    <row r="1050" spans="6:10" x14ac:dyDescent="0.25">
      <c r="F1050" t="s">
        <v>97</v>
      </c>
      <c r="G1050" s="7" cm="1">
        <f t="array" ref="G1050">INT(planned(F1050))</f>
        <v>138</v>
      </c>
      <c r="H1050">
        <f>VLOOKUP(G1050,Table4[[#All],[Cost Center]:[Client Type]],2,TRUE)</f>
        <v>6</v>
      </c>
      <c r="I1050" t="str">
        <f>VLOOKUP(G1050,Table4[[#All],[Cost Center]:[Client Type]],3,TRUE)</f>
        <v>Creek</v>
      </c>
      <c r="J1050" t="str">
        <f>VLOOKUP(G1050,Table4[[#All],[Cost Center]:[Client Type]],5,TRUE)</f>
        <v>Osama Mezayn</v>
      </c>
    </row>
    <row r="1051" spans="6:10" x14ac:dyDescent="0.25">
      <c r="F1051" t="s">
        <v>97</v>
      </c>
      <c r="G1051" s="7" cm="1">
        <f t="array" ref="G1051">INT(planned(F1051))</f>
        <v>138</v>
      </c>
      <c r="H1051">
        <f>VLOOKUP(G1051,Table4[[#All],[Cost Center]:[Client Type]],2,TRUE)</f>
        <v>6</v>
      </c>
      <c r="I1051" t="str">
        <f>VLOOKUP(G1051,Table4[[#All],[Cost Center]:[Client Type]],3,TRUE)</f>
        <v>Creek</v>
      </c>
      <c r="J1051" t="str">
        <f>VLOOKUP(G1051,Table4[[#All],[Cost Center]:[Client Type]],5,TRUE)</f>
        <v>Osama Mezayn</v>
      </c>
    </row>
    <row r="1052" spans="6:10" x14ac:dyDescent="0.25">
      <c r="F1052" t="s">
        <v>97</v>
      </c>
      <c r="G1052" s="7" cm="1">
        <f t="array" ref="G1052">INT(planned(F1052))</f>
        <v>138</v>
      </c>
      <c r="H1052">
        <f>VLOOKUP(G1052,Table4[[#All],[Cost Center]:[Client Type]],2,TRUE)</f>
        <v>6</v>
      </c>
      <c r="I1052" t="str">
        <f>VLOOKUP(G1052,Table4[[#All],[Cost Center]:[Client Type]],3,TRUE)</f>
        <v>Creek</v>
      </c>
      <c r="J1052" t="str">
        <f>VLOOKUP(G1052,Table4[[#All],[Cost Center]:[Client Type]],5,TRUE)</f>
        <v>Osama Mezayn</v>
      </c>
    </row>
    <row r="1053" spans="6:10" x14ac:dyDescent="0.25">
      <c r="F1053" t="s">
        <v>97</v>
      </c>
      <c r="G1053" s="7" cm="1">
        <f t="array" ref="G1053">INT(planned(F1053))</f>
        <v>138</v>
      </c>
      <c r="H1053">
        <f>VLOOKUP(G1053,Table4[[#All],[Cost Center]:[Client Type]],2,TRUE)</f>
        <v>6</v>
      </c>
      <c r="I1053" t="str">
        <f>VLOOKUP(G1053,Table4[[#All],[Cost Center]:[Client Type]],3,TRUE)</f>
        <v>Creek</v>
      </c>
      <c r="J1053" t="str">
        <f>VLOOKUP(G1053,Table4[[#All],[Cost Center]:[Client Type]],5,TRUE)</f>
        <v>Osama Mezayn</v>
      </c>
    </row>
    <row r="1054" spans="6:10" x14ac:dyDescent="0.25">
      <c r="F1054" t="s">
        <v>97</v>
      </c>
      <c r="G1054" s="7" cm="1">
        <f t="array" ref="G1054">INT(planned(F1054))</f>
        <v>138</v>
      </c>
      <c r="H1054">
        <f>VLOOKUP(G1054,Table4[[#All],[Cost Center]:[Client Type]],2,TRUE)</f>
        <v>6</v>
      </c>
      <c r="I1054" t="str">
        <f>VLOOKUP(G1054,Table4[[#All],[Cost Center]:[Client Type]],3,TRUE)</f>
        <v>Creek</v>
      </c>
      <c r="J1054" t="str">
        <f>VLOOKUP(G1054,Table4[[#All],[Cost Center]:[Client Type]],5,TRUE)</f>
        <v>Osama Mezayn</v>
      </c>
    </row>
    <row r="1055" spans="6:10" x14ac:dyDescent="0.25">
      <c r="F1055" t="s">
        <v>97</v>
      </c>
      <c r="G1055" s="7" cm="1">
        <f t="array" ref="G1055">INT(planned(F1055))</f>
        <v>138</v>
      </c>
      <c r="H1055">
        <f>VLOOKUP(G1055,Table4[[#All],[Cost Center]:[Client Type]],2,TRUE)</f>
        <v>6</v>
      </c>
      <c r="I1055" t="str">
        <f>VLOOKUP(G1055,Table4[[#All],[Cost Center]:[Client Type]],3,TRUE)</f>
        <v>Creek</v>
      </c>
      <c r="J1055" t="str">
        <f>VLOOKUP(G1055,Table4[[#All],[Cost Center]:[Client Type]],5,TRUE)</f>
        <v>Osama Mezayn</v>
      </c>
    </row>
    <row r="1056" spans="6:10" x14ac:dyDescent="0.25">
      <c r="F1056" t="s">
        <v>97</v>
      </c>
      <c r="G1056" s="7" cm="1">
        <f t="array" ref="G1056">INT(planned(F1056))</f>
        <v>138</v>
      </c>
      <c r="H1056">
        <f>VLOOKUP(G1056,Table4[[#All],[Cost Center]:[Client Type]],2,TRUE)</f>
        <v>6</v>
      </c>
      <c r="I1056" t="str">
        <f>VLOOKUP(G1056,Table4[[#All],[Cost Center]:[Client Type]],3,TRUE)</f>
        <v>Creek</v>
      </c>
      <c r="J1056" t="str">
        <f>VLOOKUP(G1056,Table4[[#All],[Cost Center]:[Client Type]],5,TRUE)</f>
        <v>Osama Mezayn</v>
      </c>
    </row>
    <row r="1057" spans="6:10" x14ac:dyDescent="0.25">
      <c r="F1057" t="s">
        <v>97</v>
      </c>
      <c r="G1057" s="7" cm="1">
        <f t="array" ref="G1057">INT(planned(F1057))</f>
        <v>138</v>
      </c>
      <c r="H1057">
        <f>VLOOKUP(G1057,Table4[[#All],[Cost Center]:[Client Type]],2,TRUE)</f>
        <v>6</v>
      </c>
      <c r="I1057" t="str">
        <f>VLOOKUP(G1057,Table4[[#All],[Cost Center]:[Client Type]],3,TRUE)</f>
        <v>Creek</v>
      </c>
      <c r="J1057" t="str">
        <f>VLOOKUP(G1057,Table4[[#All],[Cost Center]:[Client Type]],5,TRUE)</f>
        <v>Osama Mezayn</v>
      </c>
    </row>
    <row r="1058" spans="6:10" x14ac:dyDescent="0.25">
      <c r="F1058" t="s">
        <v>97</v>
      </c>
      <c r="G1058" s="7" cm="1">
        <f t="array" ref="G1058">INT(planned(F1058))</f>
        <v>138</v>
      </c>
      <c r="H1058">
        <f>VLOOKUP(G1058,Table4[[#All],[Cost Center]:[Client Type]],2,TRUE)</f>
        <v>6</v>
      </c>
      <c r="I1058" t="str">
        <f>VLOOKUP(G1058,Table4[[#All],[Cost Center]:[Client Type]],3,TRUE)</f>
        <v>Creek</v>
      </c>
      <c r="J1058" t="str">
        <f>VLOOKUP(G1058,Table4[[#All],[Cost Center]:[Client Type]],5,TRUE)</f>
        <v>Osama Mezayn</v>
      </c>
    </row>
    <row r="1059" spans="6:10" x14ac:dyDescent="0.25">
      <c r="F1059" t="s">
        <v>97</v>
      </c>
      <c r="G1059" s="7" cm="1">
        <f t="array" ref="G1059">INT(planned(F1059))</f>
        <v>138</v>
      </c>
      <c r="H1059">
        <f>VLOOKUP(G1059,Table4[[#All],[Cost Center]:[Client Type]],2,TRUE)</f>
        <v>6</v>
      </c>
      <c r="I1059" t="str">
        <f>VLOOKUP(G1059,Table4[[#All],[Cost Center]:[Client Type]],3,TRUE)</f>
        <v>Creek</v>
      </c>
      <c r="J1059" t="str">
        <f>VLOOKUP(G1059,Table4[[#All],[Cost Center]:[Client Type]],5,TRUE)</f>
        <v>Osama Mezayn</v>
      </c>
    </row>
    <row r="1060" spans="6:10" x14ac:dyDescent="0.25">
      <c r="F1060" t="s">
        <v>97</v>
      </c>
      <c r="G1060" s="7" cm="1">
        <f t="array" ref="G1060">INT(planned(F1060))</f>
        <v>138</v>
      </c>
      <c r="H1060">
        <f>VLOOKUP(G1060,Table4[[#All],[Cost Center]:[Client Type]],2,TRUE)</f>
        <v>6</v>
      </c>
      <c r="I1060" t="str">
        <f>VLOOKUP(G1060,Table4[[#All],[Cost Center]:[Client Type]],3,TRUE)</f>
        <v>Creek</v>
      </c>
      <c r="J1060" t="str">
        <f>VLOOKUP(G1060,Table4[[#All],[Cost Center]:[Client Type]],5,TRUE)</f>
        <v>Osama Mezayn</v>
      </c>
    </row>
    <row r="1061" spans="6:10" x14ac:dyDescent="0.25">
      <c r="F1061" t="s">
        <v>97</v>
      </c>
      <c r="G1061" s="7" cm="1">
        <f t="array" ref="G1061">INT(planned(F1061))</f>
        <v>138</v>
      </c>
      <c r="H1061">
        <f>VLOOKUP(G1061,Table4[[#All],[Cost Center]:[Client Type]],2,TRUE)</f>
        <v>6</v>
      </c>
      <c r="I1061" t="str">
        <f>VLOOKUP(G1061,Table4[[#All],[Cost Center]:[Client Type]],3,TRUE)</f>
        <v>Creek</v>
      </c>
      <c r="J1061" t="str">
        <f>VLOOKUP(G1061,Table4[[#All],[Cost Center]:[Client Type]],5,TRUE)</f>
        <v>Osama Mezayn</v>
      </c>
    </row>
    <row r="1062" spans="6:10" x14ac:dyDescent="0.25">
      <c r="F1062" t="s">
        <v>97</v>
      </c>
      <c r="G1062" s="7" cm="1">
        <f t="array" ref="G1062">INT(planned(F1062))</f>
        <v>138</v>
      </c>
      <c r="H1062">
        <f>VLOOKUP(G1062,Table4[[#All],[Cost Center]:[Client Type]],2,TRUE)</f>
        <v>6</v>
      </c>
      <c r="I1062" t="str">
        <f>VLOOKUP(G1062,Table4[[#All],[Cost Center]:[Client Type]],3,TRUE)</f>
        <v>Creek</v>
      </c>
      <c r="J1062" t="str">
        <f>VLOOKUP(G1062,Table4[[#All],[Cost Center]:[Client Type]],5,TRUE)</f>
        <v>Osama Mezayn</v>
      </c>
    </row>
    <row r="1063" spans="6:10" x14ac:dyDescent="0.25">
      <c r="F1063" t="s">
        <v>97</v>
      </c>
      <c r="G1063" s="7" cm="1">
        <f t="array" ref="G1063">INT(planned(F1063))</f>
        <v>138</v>
      </c>
      <c r="H1063">
        <f>VLOOKUP(G1063,Table4[[#All],[Cost Center]:[Client Type]],2,TRUE)</f>
        <v>6</v>
      </c>
      <c r="I1063" t="str">
        <f>VLOOKUP(G1063,Table4[[#All],[Cost Center]:[Client Type]],3,TRUE)</f>
        <v>Creek</v>
      </c>
      <c r="J1063" t="str">
        <f>VLOOKUP(G1063,Table4[[#All],[Cost Center]:[Client Type]],5,TRUE)</f>
        <v>Osama Mezayn</v>
      </c>
    </row>
    <row r="1064" spans="6:10" x14ac:dyDescent="0.25">
      <c r="F1064" t="s">
        <v>97</v>
      </c>
      <c r="G1064" s="7" cm="1">
        <f t="array" ref="G1064">INT(planned(F1064))</f>
        <v>138</v>
      </c>
      <c r="H1064">
        <f>VLOOKUP(G1064,Table4[[#All],[Cost Center]:[Client Type]],2,TRUE)</f>
        <v>6</v>
      </c>
      <c r="I1064" t="str">
        <f>VLOOKUP(G1064,Table4[[#All],[Cost Center]:[Client Type]],3,TRUE)</f>
        <v>Creek</v>
      </c>
      <c r="J1064" t="str">
        <f>VLOOKUP(G1064,Table4[[#All],[Cost Center]:[Client Type]],5,TRUE)</f>
        <v>Osama Mezayn</v>
      </c>
    </row>
    <row r="1065" spans="6:10" x14ac:dyDescent="0.25">
      <c r="F1065" t="s">
        <v>97</v>
      </c>
      <c r="G1065" s="7" cm="1">
        <f t="array" ref="G1065">INT(planned(F1065))</f>
        <v>138</v>
      </c>
      <c r="H1065">
        <f>VLOOKUP(G1065,Table4[[#All],[Cost Center]:[Client Type]],2,TRUE)</f>
        <v>6</v>
      </c>
      <c r="I1065" t="str">
        <f>VLOOKUP(G1065,Table4[[#All],[Cost Center]:[Client Type]],3,TRUE)</f>
        <v>Creek</v>
      </c>
      <c r="J1065" t="str">
        <f>VLOOKUP(G1065,Table4[[#All],[Cost Center]:[Client Type]],5,TRUE)</f>
        <v>Osama Mezayn</v>
      </c>
    </row>
    <row r="1066" spans="6:10" x14ac:dyDescent="0.25">
      <c r="F1066" t="s">
        <v>97</v>
      </c>
      <c r="G1066" s="7" cm="1">
        <f t="array" ref="G1066">INT(planned(F1066))</f>
        <v>138</v>
      </c>
      <c r="H1066">
        <f>VLOOKUP(G1066,Table4[[#All],[Cost Center]:[Client Type]],2,TRUE)</f>
        <v>6</v>
      </c>
      <c r="I1066" t="str">
        <f>VLOOKUP(G1066,Table4[[#All],[Cost Center]:[Client Type]],3,TRUE)</f>
        <v>Creek</v>
      </c>
      <c r="J1066" t="str">
        <f>VLOOKUP(G1066,Table4[[#All],[Cost Center]:[Client Type]],5,TRUE)</f>
        <v>Osama Mezayn</v>
      </c>
    </row>
    <row r="1067" spans="6:10" x14ac:dyDescent="0.25">
      <c r="F1067" t="s">
        <v>97</v>
      </c>
      <c r="G1067" s="7" cm="1">
        <f t="array" ref="G1067">INT(planned(F1067))</f>
        <v>138</v>
      </c>
      <c r="H1067">
        <f>VLOOKUP(G1067,Table4[[#All],[Cost Center]:[Client Type]],2,TRUE)</f>
        <v>6</v>
      </c>
      <c r="I1067" t="str">
        <f>VLOOKUP(G1067,Table4[[#All],[Cost Center]:[Client Type]],3,TRUE)</f>
        <v>Creek</v>
      </c>
      <c r="J1067" t="str">
        <f>VLOOKUP(G1067,Table4[[#All],[Cost Center]:[Client Type]],5,TRUE)</f>
        <v>Osama Mezayn</v>
      </c>
    </row>
    <row r="1068" spans="6:10" x14ac:dyDescent="0.25">
      <c r="F1068" t="s">
        <v>97</v>
      </c>
      <c r="G1068" s="7" cm="1">
        <f t="array" ref="G1068">INT(planned(F1068))</f>
        <v>138</v>
      </c>
      <c r="H1068">
        <f>VLOOKUP(G1068,Table4[[#All],[Cost Center]:[Client Type]],2,TRUE)</f>
        <v>6</v>
      </c>
      <c r="I1068" t="str">
        <f>VLOOKUP(G1068,Table4[[#All],[Cost Center]:[Client Type]],3,TRUE)</f>
        <v>Creek</v>
      </c>
      <c r="J1068" t="str">
        <f>VLOOKUP(G1068,Table4[[#All],[Cost Center]:[Client Type]],5,TRUE)</f>
        <v>Osama Mezayn</v>
      </c>
    </row>
    <row r="1069" spans="6:10" x14ac:dyDescent="0.25">
      <c r="F1069" t="s">
        <v>97</v>
      </c>
      <c r="G1069" s="7" cm="1">
        <f t="array" ref="G1069">INT(planned(F1069))</f>
        <v>138</v>
      </c>
      <c r="H1069">
        <f>VLOOKUP(G1069,Table4[[#All],[Cost Center]:[Client Type]],2,TRUE)</f>
        <v>6</v>
      </c>
      <c r="I1069" t="str">
        <f>VLOOKUP(G1069,Table4[[#All],[Cost Center]:[Client Type]],3,TRUE)</f>
        <v>Creek</v>
      </c>
      <c r="J1069" t="str">
        <f>VLOOKUP(G1069,Table4[[#All],[Cost Center]:[Client Type]],5,TRUE)</f>
        <v>Osama Mezayn</v>
      </c>
    </row>
    <row r="1070" spans="6:10" x14ac:dyDescent="0.25">
      <c r="F1070" t="s">
        <v>97</v>
      </c>
      <c r="G1070" s="7" cm="1">
        <f t="array" ref="G1070">INT(planned(F1070))</f>
        <v>138</v>
      </c>
      <c r="H1070">
        <f>VLOOKUP(G1070,Table4[[#All],[Cost Center]:[Client Type]],2,TRUE)</f>
        <v>6</v>
      </c>
      <c r="I1070" t="str">
        <f>VLOOKUP(G1070,Table4[[#All],[Cost Center]:[Client Type]],3,TRUE)</f>
        <v>Creek</v>
      </c>
      <c r="J1070" t="str">
        <f>VLOOKUP(G1070,Table4[[#All],[Cost Center]:[Client Type]],5,TRUE)</f>
        <v>Osama Mezayn</v>
      </c>
    </row>
    <row r="1071" spans="6:10" x14ac:dyDescent="0.25">
      <c r="F1071" t="s">
        <v>97</v>
      </c>
      <c r="G1071" s="7" cm="1">
        <f t="array" ref="G1071">INT(planned(F1071))</f>
        <v>138</v>
      </c>
      <c r="H1071">
        <f>VLOOKUP(G1071,Table4[[#All],[Cost Center]:[Client Type]],2,TRUE)</f>
        <v>6</v>
      </c>
      <c r="I1071" t="str">
        <f>VLOOKUP(G1071,Table4[[#All],[Cost Center]:[Client Type]],3,TRUE)</f>
        <v>Creek</v>
      </c>
      <c r="J1071" t="str">
        <f>VLOOKUP(G1071,Table4[[#All],[Cost Center]:[Client Type]],5,TRUE)</f>
        <v>Osama Mezayn</v>
      </c>
    </row>
    <row r="1072" spans="6:10" x14ac:dyDescent="0.25">
      <c r="F1072" t="s">
        <v>97</v>
      </c>
      <c r="G1072" s="7" cm="1">
        <f t="array" ref="G1072">INT(planned(F1072))</f>
        <v>138</v>
      </c>
      <c r="H1072">
        <f>VLOOKUP(G1072,Table4[[#All],[Cost Center]:[Client Type]],2,TRUE)</f>
        <v>6</v>
      </c>
      <c r="I1072" t="str">
        <f>VLOOKUP(G1072,Table4[[#All],[Cost Center]:[Client Type]],3,TRUE)</f>
        <v>Creek</v>
      </c>
      <c r="J1072" t="str">
        <f>VLOOKUP(G1072,Table4[[#All],[Cost Center]:[Client Type]],5,TRUE)</f>
        <v>Osama Mezayn</v>
      </c>
    </row>
    <row r="1073" spans="6:10" x14ac:dyDescent="0.25">
      <c r="F1073" t="s">
        <v>97</v>
      </c>
      <c r="G1073" s="7" cm="1">
        <f t="array" ref="G1073">INT(planned(F1073))</f>
        <v>138</v>
      </c>
      <c r="H1073">
        <f>VLOOKUP(G1073,Table4[[#All],[Cost Center]:[Client Type]],2,TRUE)</f>
        <v>6</v>
      </c>
      <c r="I1073" t="str">
        <f>VLOOKUP(G1073,Table4[[#All],[Cost Center]:[Client Type]],3,TRUE)</f>
        <v>Creek</v>
      </c>
      <c r="J1073" t="str">
        <f>VLOOKUP(G1073,Table4[[#All],[Cost Center]:[Client Type]],5,TRUE)</f>
        <v>Osama Mezayn</v>
      </c>
    </row>
    <row r="1074" spans="6:10" x14ac:dyDescent="0.25">
      <c r="F1074" t="s">
        <v>97</v>
      </c>
      <c r="G1074" s="7" cm="1">
        <f t="array" ref="G1074">INT(planned(F1074))</f>
        <v>138</v>
      </c>
      <c r="H1074">
        <f>VLOOKUP(G1074,Table4[[#All],[Cost Center]:[Client Type]],2,TRUE)</f>
        <v>6</v>
      </c>
      <c r="I1074" t="str">
        <f>VLOOKUP(G1074,Table4[[#All],[Cost Center]:[Client Type]],3,TRUE)</f>
        <v>Creek</v>
      </c>
      <c r="J1074" t="str">
        <f>VLOOKUP(G1074,Table4[[#All],[Cost Center]:[Client Type]],5,TRUE)</f>
        <v>Osama Mezayn</v>
      </c>
    </row>
    <row r="1075" spans="6:10" x14ac:dyDescent="0.25">
      <c r="F1075" t="s">
        <v>97</v>
      </c>
      <c r="G1075" s="7" cm="1">
        <f t="array" ref="G1075">INT(planned(F1075))</f>
        <v>138</v>
      </c>
      <c r="H1075">
        <f>VLOOKUP(G1075,Table4[[#All],[Cost Center]:[Client Type]],2,TRUE)</f>
        <v>6</v>
      </c>
      <c r="I1075" t="str">
        <f>VLOOKUP(G1075,Table4[[#All],[Cost Center]:[Client Type]],3,TRUE)</f>
        <v>Creek</v>
      </c>
      <c r="J1075" t="str">
        <f>VLOOKUP(G1075,Table4[[#All],[Cost Center]:[Client Type]],5,TRUE)</f>
        <v>Osama Mezayn</v>
      </c>
    </row>
    <row r="1076" spans="6:10" x14ac:dyDescent="0.25">
      <c r="F1076" t="s">
        <v>97</v>
      </c>
      <c r="G1076" s="7" cm="1">
        <f t="array" ref="G1076">INT(planned(F1076))</f>
        <v>138</v>
      </c>
      <c r="H1076">
        <f>VLOOKUP(G1076,Table4[[#All],[Cost Center]:[Client Type]],2,TRUE)</f>
        <v>6</v>
      </c>
      <c r="I1076" t="str">
        <f>VLOOKUP(G1076,Table4[[#All],[Cost Center]:[Client Type]],3,TRUE)</f>
        <v>Creek</v>
      </c>
      <c r="J1076" t="str">
        <f>VLOOKUP(G1076,Table4[[#All],[Cost Center]:[Client Type]],5,TRUE)</f>
        <v>Osama Mezayn</v>
      </c>
    </row>
    <row r="1077" spans="6:10" x14ac:dyDescent="0.25">
      <c r="F1077" t="s">
        <v>97</v>
      </c>
      <c r="G1077" s="7" cm="1">
        <f t="array" ref="G1077">INT(planned(F1077))</f>
        <v>138</v>
      </c>
      <c r="H1077">
        <f>VLOOKUP(G1077,Table4[[#All],[Cost Center]:[Client Type]],2,TRUE)</f>
        <v>6</v>
      </c>
      <c r="I1077" t="str">
        <f>VLOOKUP(G1077,Table4[[#All],[Cost Center]:[Client Type]],3,TRUE)</f>
        <v>Creek</v>
      </c>
      <c r="J1077" t="str">
        <f>VLOOKUP(G1077,Table4[[#All],[Cost Center]:[Client Type]],5,TRUE)</f>
        <v>Osama Mezayn</v>
      </c>
    </row>
    <row r="1078" spans="6:10" x14ac:dyDescent="0.25">
      <c r="F1078" t="s">
        <v>97</v>
      </c>
      <c r="G1078" s="7" cm="1">
        <f t="array" ref="G1078">INT(planned(F1078))</f>
        <v>138</v>
      </c>
      <c r="H1078">
        <f>VLOOKUP(G1078,Table4[[#All],[Cost Center]:[Client Type]],2,TRUE)</f>
        <v>6</v>
      </c>
      <c r="I1078" t="str">
        <f>VLOOKUP(G1078,Table4[[#All],[Cost Center]:[Client Type]],3,TRUE)</f>
        <v>Creek</v>
      </c>
      <c r="J1078" t="str">
        <f>VLOOKUP(G1078,Table4[[#All],[Cost Center]:[Client Type]],5,TRUE)</f>
        <v>Osama Mezayn</v>
      </c>
    </row>
    <row r="1079" spans="6:10" x14ac:dyDescent="0.25">
      <c r="F1079" t="s">
        <v>97</v>
      </c>
      <c r="G1079" s="7" cm="1">
        <f t="array" ref="G1079">INT(planned(F1079))</f>
        <v>138</v>
      </c>
      <c r="H1079">
        <f>VLOOKUP(G1079,Table4[[#All],[Cost Center]:[Client Type]],2,TRUE)</f>
        <v>6</v>
      </c>
      <c r="I1079" t="str">
        <f>VLOOKUP(G1079,Table4[[#All],[Cost Center]:[Client Type]],3,TRUE)</f>
        <v>Creek</v>
      </c>
      <c r="J1079" t="str">
        <f>VLOOKUP(G1079,Table4[[#All],[Cost Center]:[Client Type]],5,TRUE)</f>
        <v>Osama Mezayn</v>
      </c>
    </row>
    <row r="1080" spans="6:10" x14ac:dyDescent="0.25">
      <c r="F1080" t="s">
        <v>97</v>
      </c>
      <c r="G1080" s="7" cm="1">
        <f t="array" ref="G1080">INT(planned(F1080))</f>
        <v>138</v>
      </c>
      <c r="H1080">
        <f>VLOOKUP(G1080,Table4[[#All],[Cost Center]:[Client Type]],2,TRUE)</f>
        <v>6</v>
      </c>
      <c r="I1080" t="str">
        <f>VLOOKUP(G1080,Table4[[#All],[Cost Center]:[Client Type]],3,TRUE)</f>
        <v>Creek</v>
      </c>
      <c r="J1080" t="str">
        <f>VLOOKUP(G1080,Table4[[#All],[Cost Center]:[Client Type]],5,TRUE)</f>
        <v>Osama Mezayn</v>
      </c>
    </row>
    <row r="1081" spans="6:10" x14ac:dyDescent="0.25">
      <c r="F1081" t="s">
        <v>97</v>
      </c>
      <c r="G1081" s="7" cm="1">
        <f t="array" ref="G1081">INT(planned(F1081))</f>
        <v>138</v>
      </c>
      <c r="H1081">
        <f>VLOOKUP(G1081,Table4[[#All],[Cost Center]:[Client Type]],2,TRUE)</f>
        <v>6</v>
      </c>
      <c r="I1081" t="str">
        <f>VLOOKUP(G1081,Table4[[#All],[Cost Center]:[Client Type]],3,TRUE)</f>
        <v>Creek</v>
      </c>
      <c r="J1081" t="str">
        <f>VLOOKUP(G1081,Table4[[#All],[Cost Center]:[Client Type]],5,TRUE)</f>
        <v>Osama Mezayn</v>
      </c>
    </row>
    <row r="1082" spans="6:10" x14ac:dyDescent="0.25">
      <c r="F1082" t="s">
        <v>97</v>
      </c>
      <c r="G1082" s="7" cm="1">
        <f t="array" ref="G1082">INT(planned(F1082))</f>
        <v>138</v>
      </c>
      <c r="H1082">
        <f>VLOOKUP(G1082,Table4[[#All],[Cost Center]:[Client Type]],2,TRUE)</f>
        <v>6</v>
      </c>
      <c r="I1082" t="str">
        <f>VLOOKUP(G1082,Table4[[#All],[Cost Center]:[Client Type]],3,TRUE)</f>
        <v>Creek</v>
      </c>
      <c r="J1082" t="str">
        <f>VLOOKUP(G1082,Table4[[#All],[Cost Center]:[Client Type]],5,TRUE)</f>
        <v>Osama Mezayn</v>
      </c>
    </row>
    <row r="1083" spans="6:10" x14ac:dyDescent="0.25">
      <c r="F1083" t="s">
        <v>97</v>
      </c>
      <c r="G1083" s="7" cm="1">
        <f t="array" ref="G1083">INT(planned(F1083))</f>
        <v>138</v>
      </c>
      <c r="H1083">
        <f>VLOOKUP(G1083,Table4[[#All],[Cost Center]:[Client Type]],2,TRUE)</f>
        <v>6</v>
      </c>
      <c r="I1083" t="str">
        <f>VLOOKUP(G1083,Table4[[#All],[Cost Center]:[Client Type]],3,TRUE)</f>
        <v>Creek</v>
      </c>
      <c r="J1083" t="str">
        <f>VLOOKUP(G1083,Table4[[#All],[Cost Center]:[Client Type]],5,TRUE)</f>
        <v>Osama Mezayn</v>
      </c>
    </row>
    <row r="1084" spans="6:10" x14ac:dyDescent="0.25">
      <c r="F1084" t="s">
        <v>97</v>
      </c>
      <c r="G1084" s="7" cm="1">
        <f t="array" ref="G1084">INT(planned(F1084))</f>
        <v>138</v>
      </c>
      <c r="H1084">
        <f>VLOOKUP(G1084,Table4[[#All],[Cost Center]:[Client Type]],2,TRUE)</f>
        <v>6</v>
      </c>
      <c r="I1084" t="str">
        <f>VLOOKUP(G1084,Table4[[#All],[Cost Center]:[Client Type]],3,TRUE)</f>
        <v>Creek</v>
      </c>
      <c r="J1084" t="str">
        <f>VLOOKUP(G1084,Table4[[#All],[Cost Center]:[Client Type]],5,TRUE)</f>
        <v>Osama Mezayn</v>
      </c>
    </row>
    <row r="1085" spans="6:10" x14ac:dyDescent="0.25">
      <c r="F1085" t="s">
        <v>97</v>
      </c>
      <c r="G1085" s="7" cm="1">
        <f t="array" ref="G1085">INT(planned(F1085))</f>
        <v>138</v>
      </c>
      <c r="H1085">
        <f>VLOOKUP(G1085,Table4[[#All],[Cost Center]:[Client Type]],2,TRUE)</f>
        <v>6</v>
      </c>
      <c r="I1085" t="str">
        <f>VLOOKUP(G1085,Table4[[#All],[Cost Center]:[Client Type]],3,TRUE)</f>
        <v>Creek</v>
      </c>
      <c r="J1085" t="str">
        <f>VLOOKUP(G1085,Table4[[#All],[Cost Center]:[Client Type]],5,TRUE)</f>
        <v>Osama Mezayn</v>
      </c>
    </row>
    <row r="1086" spans="6:10" x14ac:dyDescent="0.25">
      <c r="F1086" t="s">
        <v>97</v>
      </c>
      <c r="G1086" s="7" cm="1">
        <f t="array" ref="G1086">INT(planned(F1086))</f>
        <v>138</v>
      </c>
      <c r="H1086">
        <f>VLOOKUP(G1086,Table4[[#All],[Cost Center]:[Client Type]],2,TRUE)</f>
        <v>6</v>
      </c>
      <c r="I1086" t="str">
        <f>VLOOKUP(G1086,Table4[[#All],[Cost Center]:[Client Type]],3,TRUE)</f>
        <v>Creek</v>
      </c>
      <c r="J1086" t="str">
        <f>VLOOKUP(G1086,Table4[[#All],[Cost Center]:[Client Type]],5,TRUE)</f>
        <v>Osama Mezayn</v>
      </c>
    </row>
    <row r="1087" spans="6:10" x14ac:dyDescent="0.25">
      <c r="F1087" t="s">
        <v>97</v>
      </c>
      <c r="G1087" s="7" cm="1">
        <f t="array" ref="G1087">INT(planned(F1087))</f>
        <v>138</v>
      </c>
      <c r="H1087">
        <f>VLOOKUP(G1087,Table4[[#All],[Cost Center]:[Client Type]],2,TRUE)</f>
        <v>6</v>
      </c>
      <c r="I1087" t="str">
        <f>VLOOKUP(G1087,Table4[[#All],[Cost Center]:[Client Type]],3,TRUE)</f>
        <v>Creek</v>
      </c>
      <c r="J1087" t="str">
        <f>VLOOKUP(G1087,Table4[[#All],[Cost Center]:[Client Type]],5,TRUE)</f>
        <v>Osama Mezayn</v>
      </c>
    </row>
    <row r="1088" spans="6:10" x14ac:dyDescent="0.25">
      <c r="F1088" t="s">
        <v>97</v>
      </c>
      <c r="G1088" s="7" cm="1">
        <f t="array" ref="G1088">INT(planned(F1088))</f>
        <v>138</v>
      </c>
      <c r="H1088">
        <f>VLOOKUP(G1088,Table4[[#All],[Cost Center]:[Client Type]],2,TRUE)</f>
        <v>6</v>
      </c>
      <c r="I1088" t="str">
        <f>VLOOKUP(G1088,Table4[[#All],[Cost Center]:[Client Type]],3,TRUE)</f>
        <v>Creek</v>
      </c>
      <c r="J1088" t="str">
        <f>VLOOKUP(G1088,Table4[[#All],[Cost Center]:[Client Type]],5,TRUE)</f>
        <v>Osama Mezayn</v>
      </c>
    </row>
    <row r="1089" spans="6:10" x14ac:dyDescent="0.25">
      <c r="F1089" t="s">
        <v>97</v>
      </c>
      <c r="G1089" s="7" cm="1">
        <f t="array" ref="G1089">INT(planned(F1089))</f>
        <v>138</v>
      </c>
      <c r="H1089">
        <f>VLOOKUP(G1089,Table4[[#All],[Cost Center]:[Client Type]],2,TRUE)</f>
        <v>6</v>
      </c>
      <c r="I1089" t="str">
        <f>VLOOKUP(G1089,Table4[[#All],[Cost Center]:[Client Type]],3,TRUE)</f>
        <v>Creek</v>
      </c>
      <c r="J1089" t="str">
        <f>VLOOKUP(G1089,Table4[[#All],[Cost Center]:[Client Type]],5,TRUE)</f>
        <v>Osama Mezayn</v>
      </c>
    </row>
    <row r="1090" spans="6:10" x14ac:dyDescent="0.25">
      <c r="F1090" t="s">
        <v>97</v>
      </c>
      <c r="G1090" s="7" cm="1">
        <f t="array" ref="G1090">INT(planned(F1090))</f>
        <v>138</v>
      </c>
      <c r="H1090">
        <f>VLOOKUP(G1090,Table4[[#All],[Cost Center]:[Client Type]],2,TRUE)</f>
        <v>6</v>
      </c>
      <c r="I1090" t="str">
        <f>VLOOKUP(G1090,Table4[[#All],[Cost Center]:[Client Type]],3,TRUE)</f>
        <v>Creek</v>
      </c>
      <c r="J1090" t="str">
        <f>VLOOKUP(G1090,Table4[[#All],[Cost Center]:[Client Type]],5,TRUE)</f>
        <v>Osama Mezayn</v>
      </c>
    </row>
    <row r="1091" spans="6:10" x14ac:dyDescent="0.25">
      <c r="F1091" t="s">
        <v>97</v>
      </c>
      <c r="G1091" s="7" cm="1">
        <f t="array" ref="G1091">INT(planned(F1091))</f>
        <v>138</v>
      </c>
      <c r="H1091">
        <f>VLOOKUP(G1091,Table4[[#All],[Cost Center]:[Client Type]],2,TRUE)</f>
        <v>6</v>
      </c>
      <c r="I1091" t="str">
        <f>VLOOKUP(G1091,Table4[[#All],[Cost Center]:[Client Type]],3,TRUE)</f>
        <v>Creek</v>
      </c>
      <c r="J1091" t="str">
        <f>VLOOKUP(G1091,Table4[[#All],[Cost Center]:[Client Type]],5,TRUE)</f>
        <v>Osama Mezayn</v>
      </c>
    </row>
    <row r="1092" spans="6:10" x14ac:dyDescent="0.25">
      <c r="F1092" t="s">
        <v>97</v>
      </c>
      <c r="G1092" s="7" cm="1">
        <f t="array" ref="G1092">INT(planned(F1092))</f>
        <v>138</v>
      </c>
      <c r="H1092">
        <f>VLOOKUP(G1092,Table4[[#All],[Cost Center]:[Client Type]],2,TRUE)</f>
        <v>6</v>
      </c>
      <c r="I1092" t="str">
        <f>VLOOKUP(G1092,Table4[[#All],[Cost Center]:[Client Type]],3,TRUE)</f>
        <v>Creek</v>
      </c>
      <c r="J1092" t="str">
        <f>VLOOKUP(G1092,Table4[[#All],[Cost Center]:[Client Type]],5,TRUE)</f>
        <v>Osama Mezayn</v>
      </c>
    </row>
    <row r="1093" spans="6:10" x14ac:dyDescent="0.25">
      <c r="F1093" t="s">
        <v>97</v>
      </c>
      <c r="G1093" s="7" cm="1">
        <f t="array" ref="G1093">INT(planned(F1093))</f>
        <v>138</v>
      </c>
      <c r="H1093">
        <f>VLOOKUP(G1093,Table4[[#All],[Cost Center]:[Client Type]],2,TRUE)</f>
        <v>6</v>
      </c>
      <c r="I1093" t="str">
        <f>VLOOKUP(G1093,Table4[[#All],[Cost Center]:[Client Type]],3,TRUE)</f>
        <v>Creek</v>
      </c>
      <c r="J1093" t="str">
        <f>VLOOKUP(G1093,Table4[[#All],[Cost Center]:[Client Type]],5,TRUE)</f>
        <v>Osama Mezayn</v>
      </c>
    </row>
    <row r="1094" spans="6:10" x14ac:dyDescent="0.25">
      <c r="F1094" t="s">
        <v>97</v>
      </c>
      <c r="G1094" s="7" cm="1">
        <f t="array" ref="G1094">INT(planned(F1094))</f>
        <v>138</v>
      </c>
      <c r="H1094">
        <f>VLOOKUP(G1094,Table4[[#All],[Cost Center]:[Client Type]],2,TRUE)</f>
        <v>6</v>
      </c>
      <c r="I1094" t="str">
        <f>VLOOKUP(G1094,Table4[[#All],[Cost Center]:[Client Type]],3,TRUE)</f>
        <v>Creek</v>
      </c>
      <c r="J1094" t="str">
        <f>VLOOKUP(G1094,Table4[[#All],[Cost Center]:[Client Type]],5,TRUE)</f>
        <v>Osama Mezayn</v>
      </c>
    </row>
    <row r="1095" spans="6:10" x14ac:dyDescent="0.25">
      <c r="F1095" t="s">
        <v>97</v>
      </c>
      <c r="G1095" s="7" cm="1">
        <f t="array" ref="G1095">INT(planned(F1095))</f>
        <v>138</v>
      </c>
      <c r="H1095">
        <f>VLOOKUP(G1095,Table4[[#All],[Cost Center]:[Client Type]],2,TRUE)</f>
        <v>6</v>
      </c>
      <c r="I1095" t="str">
        <f>VLOOKUP(G1095,Table4[[#All],[Cost Center]:[Client Type]],3,TRUE)</f>
        <v>Creek</v>
      </c>
      <c r="J1095" t="str">
        <f>VLOOKUP(G1095,Table4[[#All],[Cost Center]:[Client Type]],5,TRUE)</f>
        <v>Osama Mezayn</v>
      </c>
    </row>
    <row r="1096" spans="6:10" x14ac:dyDescent="0.25">
      <c r="F1096" t="s">
        <v>97</v>
      </c>
      <c r="G1096" s="7" cm="1">
        <f t="array" ref="G1096">INT(planned(F1096))</f>
        <v>138</v>
      </c>
      <c r="H1096">
        <f>VLOOKUP(G1096,Table4[[#All],[Cost Center]:[Client Type]],2,TRUE)</f>
        <v>6</v>
      </c>
      <c r="I1096" t="str">
        <f>VLOOKUP(G1096,Table4[[#All],[Cost Center]:[Client Type]],3,TRUE)</f>
        <v>Creek</v>
      </c>
      <c r="J1096" t="str">
        <f>VLOOKUP(G1096,Table4[[#All],[Cost Center]:[Client Type]],5,TRUE)</f>
        <v>Osama Mezayn</v>
      </c>
    </row>
    <row r="1097" spans="6:10" x14ac:dyDescent="0.25">
      <c r="F1097" t="s">
        <v>97</v>
      </c>
      <c r="G1097" s="7" cm="1">
        <f t="array" ref="G1097">INT(planned(F1097))</f>
        <v>138</v>
      </c>
      <c r="H1097">
        <f>VLOOKUP(G1097,Table4[[#All],[Cost Center]:[Client Type]],2,TRUE)</f>
        <v>6</v>
      </c>
      <c r="I1097" t="str">
        <f>VLOOKUP(G1097,Table4[[#All],[Cost Center]:[Client Type]],3,TRUE)</f>
        <v>Creek</v>
      </c>
      <c r="J1097" t="str">
        <f>VLOOKUP(G1097,Table4[[#All],[Cost Center]:[Client Type]],5,TRUE)</f>
        <v>Osama Mezayn</v>
      </c>
    </row>
    <row r="1098" spans="6:10" x14ac:dyDescent="0.25">
      <c r="F1098" t="s">
        <v>97</v>
      </c>
      <c r="G1098" s="7" cm="1">
        <f t="array" ref="G1098">INT(planned(F1098))</f>
        <v>138</v>
      </c>
      <c r="H1098">
        <f>VLOOKUP(G1098,Table4[[#All],[Cost Center]:[Client Type]],2,TRUE)</f>
        <v>6</v>
      </c>
      <c r="I1098" t="str">
        <f>VLOOKUP(G1098,Table4[[#All],[Cost Center]:[Client Type]],3,TRUE)</f>
        <v>Creek</v>
      </c>
      <c r="J1098" t="str">
        <f>VLOOKUP(G1098,Table4[[#All],[Cost Center]:[Client Type]],5,TRUE)</f>
        <v>Osama Mezayn</v>
      </c>
    </row>
    <row r="1099" spans="6:10" x14ac:dyDescent="0.25">
      <c r="F1099" t="s">
        <v>97</v>
      </c>
      <c r="G1099" s="7" cm="1">
        <f t="array" ref="G1099">INT(planned(F1099))</f>
        <v>138</v>
      </c>
      <c r="H1099">
        <f>VLOOKUP(G1099,Table4[[#All],[Cost Center]:[Client Type]],2,TRUE)</f>
        <v>6</v>
      </c>
      <c r="I1099" t="str">
        <f>VLOOKUP(G1099,Table4[[#All],[Cost Center]:[Client Type]],3,TRUE)</f>
        <v>Creek</v>
      </c>
      <c r="J1099" t="str">
        <f>VLOOKUP(G1099,Table4[[#All],[Cost Center]:[Client Type]],5,TRUE)</f>
        <v>Osama Mezayn</v>
      </c>
    </row>
    <row r="1100" spans="6:10" x14ac:dyDescent="0.25">
      <c r="F1100" t="s">
        <v>97</v>
      </c>
      <c r="G1100" s="7" cm="1">
        <f t="array" ref="G1100">INT(planned(F1100))</f>
        <v>138</v>
      </c>
      <c r="H1100">
        <f>VLOOKUP(G1100,Table4[[#All],[Cost Center]:[Client Type]],2,TRUE)</f>
        <v>6</v>
      </c>
      <c r="I1100" t="str">
        <f>VLOOKUP(G1100,Table4[[#All],[Cost Center]:[Client Type]],3,TRUE)</f>
        <v>Creek</v>
      </c>
      <c r="J1100" t="str">
        <f>VLOOKUP(G1100,Table4[[#All],[Cost Center]:[Client Type]],5,TRUE)</f>
        <v>Osama Mezayn</v>
      </c>
    </row>
    <row r="1101" spans="6:10" x14ac:dyDescent="0.25">
      <c r="F1101" t="s">
        <v>97</v>
      </c>
      <c r="G1101" s="7" cm="1">
        <f t="array" ref="G1101">INT(planned(F1101))</f>
        <v>138</v>
      </c>
      <c r="H1101">
        <f>VLOOKUP(G1101,Table4[[#All],[Cost Center]:[Client Type]],2,TRUE)</f>
        <v>6</v>
      </c>
      <c r="I1101" t="str">
        <f>VLOOKUP(G1101,Table4[[#All],[Cost Center]:[Client Type]],3,TRUE)</f>
        <v>Creek</v>
      </c>
      <c r="J1101" t="str">
        <f>VLOOKUP(G1101,Table4[[#All],[Cost Center]:[Client Type]],5,TRUE)</f>
        <v>Osama Mezayn</v>
      </c>
    </row>
    <row r="1102" spans="6:10" x14ac:dyDescent="0.25">
      <c r="F1102" t="s">
        <v>97</v>
      </c>
      <c r="G1102" s="7" cm="1">
        <f t="array" ref="G1102">INT(planned(F1102))</f>
        <v>138</v>
      </c>
      <c r="H1102">
        <f>VLOOKUP(G1102,Table4[[#All],[Cost Center]:[Client Type]],2,TRUE)</f>
        <v>6</v>
      </c>
      <c r="I1102" t="str">
        <f>VLOOKUP(G1102,Table4[[#All],[Cost Center]:[Client Type]],3,TRUE)</f>
        <v>Creek</v>
      </c>
      <c r="J1102" t="str">
        <f>VLOOKUP(G1102,Table4[[#All],[Cost Center]:[Client Type]],5,TRUE)</f>
        <v>Osama Mezayn</v>
      </c>
    </row>
    <row r="1103" spans="6:10" x14ac:dyDescent="0.25">
      <c r="F1103" t="s">
        <v>97</v>
      </c>
      <c r="G1103" s="7" cm="1">
        <f t="array" ref="G1103">INT(planned(F1103))</f>
        <v>138</v>
      </c>
      <c r="H1103">
        <f>VLOOKUP(G1103,Table4[[#All],[Cost Center]:[Client Type]],2,TRUE)</f>
        <v>6</v>
      </c>
      <c r="I1103" t="str">
        <f>VLOOKUP(G1103,Table4[[#All],[Cost Center]:[Client Type]],3,TRUE)</f>
        <v>Creek</v>
      </c>
      <c r="J1103" t="str">
        <f>VLOOKUP(G1103,Table4[[#All],[Cost Center]:[Client Type]],5,TRUE)</f>
        <v>Osama Mezayn</v>
      </c>
    </row>
    <row r="1104" spans="6:10" x14ac:dyDescent="0.25">
      <c r="F1104" t="s">
        <v>97</v>
      </c>
      <c r="G1104" s="7" cm="1">
        <f t="array" ref="G1104">INT(planned(F1104))</f>
        <v>138</v>
      </c>
      <c r="H1104">
        <f>VLOOKUP(G1104,Table4[[#All],[Cost Center]:[Client Type]],2,TRUE)</f>
        <v>6</v>
      </c>
      <c r="I1104" t="str">
        <f>VLOOKUP(G1104,Table4[[#All],[Cost Center]:[Client Type]],3,TRUE)</f>
        <v>Creek</v>
      </c>
      <c r="J1104" t="str">
        <f>VLOOKUP(G1104,Table4[[#All],[Cost Center]:[Client Type]],5,TRUE)</f>
        <v>Osama Mezayn</v>
      </c>
    </row>
    <row r="1105" spans="6:10" x14ac:dyDescent="0.25">
      <c r="F1105" t="s">
        <v>97</v>
      </c>
      <c r="G1105" s="7" cm="1">
        <f t="array" ref="G1105">INT(planned(F1105))</f>
        <v>138</v>
      </c>
      <c r="H1105">
        <f>VLOOKUP(G1105,Table4[[#All],[Cost Center]:[Client Type]],2,TRUE)</f>
        <v>6</v>
      </c>
      <c r="I1105" t="str">
        <f>VLOOKUP(G1105,Table4[[#All],[Cost Center]:[Client Type]],3,TRUE)</f>
        <v>Creek</v>
      </c>
      <c r="J1105" t="str">
        <f>VLOOKUP(G1105,Table4[[#All],[Cost Center]:[Client Type]],5,TRUE)</f>
        <v>Osama Mezayn</v>
      </c>
    </row>
    <row r="1106" spans="6:10" x14ac:dyDescent="0.25">
      <c r="F1106" t="s">
        <v>97</v>
      </c>
      <c r="G1106" s="7" cm="1">
        <f t="array" ref="G1106">INT(planned(F1106))</f>
        <v>138</v>
      </c>
      <c r="H1106">
        <f>VLOOKUP(G1106,Table4[[#All],[Cost Center]:[Client Type]],2,TRUE)</f>
        <v>6</v>
      </c>
      <c r="I1106" t="str">
        <f>VLOOKUP(G1106,Table4[[#All],[Cost Center]:[Client Type]],3,TRUE)</f>
        <v>Creek</v>
      </c>
      <c r="J1106" t="str">
        <f>VLOOKUP(G1106,Table4[[#All],[Cost Center]:[Client Type]],5,TRUE)</f>
        <v>Osama Mezayn</v>
      </c>
    </row>
    <row r="1107" spans="6:10" x14ac:dyDescent="0.25">
      <c r="F1107" t="s">
        <v>97</v>
      </c>
      <c r="G1107" s="7" cm="1">
        <f t="array" ref="G1107">INT(planned(F1107))</f>
        <v>138</v>
      </c>
      <c r="H1107">
        <f>VLOOKUP(G1107,Table4[[#All],[Cost Center]:[Client Type]],2,TRUE)</f>
        <v>6</v>
      </c>
      <c r="I1107" t="str">
        <f>VLOOKUP(G1107,Table4[[#All],[Cost Center]:[Client Type]],3,TRUE)</f>
        <v>Creek</v>
      </c>
      <c r="J1107" t="str">
        <f>VLOOKUP(G1107,Table4[[#All],[Cost Center]:[Client Type]],5,TRUE)</f>
        <v>Osama Mezayn</v>
      </c>
    </row>
    <row r="1108" spans="6:10" x14ac:dyDescent="0.25">
      <c r="F1108" t="s">
        <v>97</v>
      </c>
      <c r="G1108" s="7" cm="1">
        <f t="array" ref="G1108">INT(planned(F1108))</f>
        <v>138</v>
      </c>
      <c r="H1108">
        <f>VLOOKUP(G1108,Table4[[#All],[Cost Center]:[Client Type]],2,TRUE)</f>
        <v>6</v>
      </c>
      <c r="I1108" t="str">
        <f>VLOOKUP(G1108,Table4[[#All],[Cost Center]:[Client Type]],3,TRUE)</f>
        <v>Creek</v>
      </c>
      <c r="J1108" t="str">
        <f>VLOOKUP(G1108,Table4[[#All],[Cost Center]:[Client Type]],5,TRUE)</f>
        <v>Osama Mezayn</v>
      </c>
    </row>
    <row r="1109" spans="6:10" x14ac:dyDescent="0.25">
      <c r="F1109" t="s">
        <v>97</v>
      </c>
      <c r="G1109" s="7" cm="1">
        <f t="array" ref="G1109">INT(planned(F1109))</f>
        <v>138</v>
      </c>
      <c r="H1109">
        <f>VLOOKUP(G1109,Table4[[#All],[Cost Center]:[Client Type]],2,TRUE)</f>
        <v>6</v>
      </c>
      <c r="I1109" t="str">
        <f>VLOOKUP(G1109,Table4[[#All],[Cost Center]:[Client Type]],3,TRUE)</f>
        <v>Creek</v>
      </c>
      <c r="J1109" t="str">
        <f>VLOOKUP(G1109,Table4[[#All],[Cost Center]:[Client Type]],5,TRUE)</f>
        <v>Osama Mezayn</v>
      </c>
    </row>
    <row r="1110" spans="6:10" x14ac:dyDescent="0.25">
      <c r="F1110" t="s">
        <v>97</v>
      </c>
      <c r="G1110" s="7" cm="1">
        <f t="array" ref="G1110">INT(planned(F1110))</f>
        <v>138</v>
      </c>
      <c r="H1110">
        <f>VLOOKUP(G1110,Table4[[#All],[Cost Center]:[Client Type]],2,TRUE)</f>
        <v>6</v>
      </c>
      <c r="I1110" t="str">
        <f>VLOOKUP(G1110,Table4[[#All],[Cost Center]:[Client Type]],3,TRUE)</f>
        <v>Creek</v>
      </c>
      <c r="J1110" t="str">
        <f>VLOOKUP(G1110,Table4[[#All],[Cost Center]:[Client Type]],5,TRUE)</f>
        <v>Osama Mezayn</v>
      </c>
    </row>
    <row r="1111" spans="6:10" x14ac:dyDescent="0.25">
      <c r="F1111" t="s">
        <v>97</v>
      </c>
      <c r="G1111" s="7" cm="1">
        <f t="array" ref="G1111">INT(planned(F1111))</f>
        <v>138</v>
      </c>
      <c r="H1111">
        <f>VLOOKUP(G1111,Table4[[#All],[Cost Center]:[Client Type]],2,TRUE)</f>
        <v>6</v>
      </c>
      <c r="I1111" t="str">
        <f>VLOOKUP(G1111,Table4[[#All],[Cost Center]:[Client Type]],3,TRUE)</f>
        <v>Creek</v>
      </c>
      <c r="J1111" t="str">
        <f>VLOOKUP(G1111,Table4[[#All],[Cost Center]:[Client Type]],5,TRUE)</f>
        <v>Osama Mezayn</v>
      </c>
    </row>
    <row r="1112" spans="6:10" x14ac:dyDescent="0.25">
      <c r="F1112" t="s">
        <v>97</v>
      </c>
      <c r="G1112" s="7" cm="1">
        <f t="array" ref="G1112">INT(planned(F1112))</f>
        <v>138</v>
      </c>
      <c r="H1112">
        <f>VLOOKUP(G1112,Table4[[#All],[Cost Center]:[Client Type]],2,TRUE)</f>
        <v>6</v>
      </c>
      <c r="I1112" t="str">
        <f>VLOOKUP(G1112,Table4[[#All],[Cost Center]:[Client Type]],3,TRUE)</f>
        <v>Creek</v>
      </c>
      <c r="J1112" t="str">
        <f>VLOOKUP(G1112,Table4[[#All],[Cost Center]:[Client Type]],5,TRUE)</f>
        <v>Osama Mezayn</v>
      </c>
    </row>
    <row r="1113" spans="6:10" x14ac:dyDescent="0.25">
      <c r="F1113" t="s">
        <v>97</v>
      </c>
      <c r="G1113" s="7" cm="1">
        <f t="array" ref="G1113">INT(planned(F1113))</f>
        <v>138</v>
      </c>
      <c r="H1113">
        <f>VLOOKUP(G1113,Table4[[#All],[Cost Center]:[Client Type]],2,TRUE)</f>
        <v>6</v>
      </c>
      <c r="I1113" t="str">
        <f>VLOOKUP(G1113,Table4[[#All],[Cost Center]:[Client Type]],3,TRUE)</f>
        <v>Creek</v>
      </c>
      <c r="J1113" t="str">
        <f>VLOOKUP(G1113,Table4[[#All],[Cost Center]:[Client Type]],5,TRUE)</f>
        <v>Osama Mezayn</v>
      </c>
    </row>
    <row r="1114" spans="6:10" x14ac:dyDescent="0.25">
      <c r="F1114" t="s">
        <v>97</v>
      </c>
      <c r="G1114" s="7" cm="1">
        <f t="array" ref="G1114">INT(planned(F1114))</f>
        <v>138</v>
      </c>
      <c r="H1114">
        <f>VLOOKUP(G1114,Table4[[#All],[Cost Center]:[Client Type]],2,TRUE)</f>
        <v>6</v>
      </c>
      <c r="I1114" t="str">
        <f>VLOOKUP(G1114,Table4[[#All],[Cost Center]:[Client Type]],3,TRUE)</f>
        <v>Creek</v>
      </c>
      <c r="J1114" t="str">
        <f>VLOOKUP(G1114,Table4[[#All],[Cost Center]:[Client Type]],5,TRUE)</f>
        <v>Osama Mezayn</v>
      </c>
    </row>
    <row r="1115" spans="6:10" x14ac:dyDescent="0.25">
      <c r="F1115" t="s">
        <v>97</v>
      </c>
      <c r="G1115" s="7" cm="1">
        <f t="array" ref="G1115">INT(planned(F1115))</f>
        <v>138</v>
      </c>
      <c r="H1115">
        <f>VLOOKUP(G1115,Table4[[#All],[Cost Center]:[Client Type]],2,TRUE)</f>
        <v>6</v>
      </c>
      <c r="I1115" t="str">
        <f>VLOOKUP(G1115,Table4[[#All],[Cost Center]:[Client Type]],3,TRUE)</f>
        <v>Creek</v>
      </c>
      <c r="J1115" t="str">
        <f>VLOOKUP(G1115,Table4[[#All],[Cost Center]:[Client Type]],5,TRUE)</f>
        <v>Osama Mezayn</v>
      </c>
    </row>
    <row r="1116" spans="6:10" x14ac:dyDescent="0.25">
      <c r="F1116" t="s">
        <v>97</v>
      </c>
      <c r="G1116" s="7" cm="1">
        <f t="array" ref="G1116">INT(planned(F1116))</f>
        <v>138</v>
      </c>
      <c r="H1116">
        <f>VLOOKUP(G1116,Table4[[#All],[Cost Center]:[Client Type]],2,TRUE)</f>
        <v>6</v>
      </c>
      <c r="I1116" t="str">
        <f>VLOOKUP(G1116,Table4[[#All],[Cost Center]:[Client Type]],3,TRUE)</f>
        <v>Creek</v>
      </c>
      <c r="J1116" t="str">
        <f>VLOOKUP(G1116,Table4[[#All],[Cost Center]:[Client Type]],5,TRUE)</f>
        <v>Osama Mezayn</v>
      </c>
    </row>
    <row r="1117" spans="6:10" x14ac:dyDescent="0.25">
      <c r="F1117" t="s">
        <v>97</v>
      </c>
      <c r="G1117" s="7" cm="1">
        <f t="array" ref="G1117">INT(planned(F1117))</f>
        <v>138</v>
      </c>
      <c r="H1117">
        <f>VLOOKUP(G1117,Table4[[#All],[Cost Center]:[Client Type]],2,TRUE)</f>
        <v>6</v>
      </c>
      <c r="I1117" t="str">
        <f>VLOOKUP(G1117,Table4[[#All],[Cost Center]:[Client Type]],3,TRUE)</f>
        <v>Creek</v>
      </c>
      <c r="J1117" t="str">
        <f>VLOOKUP(G1117,Table4[[#All],[Cost Center]:[Client Type]],5,TRUE)</f>
        <v>Osama Mezayn</v>
      </c>
    </row>
    <row r="1118" spans="6:10" x14ac:dyDescent="0.25">
      <c r="F1118" t="s">
        <v>97</v>
      </c>
      <c r="G1118" s="7" cm="1">
        <f t="array" ref="G1118">INT(planned(F1118))</f>
        <v>138</v>
      </c>
      <c r="H1118">
        <f>VLOOKUP(G1118,Table4[[#All],[Cost Center]:[Client Type]],2,TRUE)</f>
        <v>6</v>
      </c>
      <c r="I1118" t="str">
        <f>VLOOKUP(G1118,Table4[[#All],[Cost Center]:[Client Type]],3,TRUE)</f>
        <v>Creek</v>
      </c>
      <c r="J1118" t="str">
        <f>VLOOKUP(G1118,Table4[[#All],[Cost Center]:[Client Type]],5,TRUE)</f>
        <v>Osama Mezayn</v>
      </c>
    </row>
    <row r="1119" spans="6:10" x14ac:dyDescent="0.25">
      <c r="F1119" t="s">
        <v>97</v>
      </c>
      <c r="G1119" s="7" cm="1">
        <f t="array" ref="G1119">INT(planned(F1119))</f>
        <v>138</v>
      </c>
      <c r="H1119">
        <f>VLOOKUP(G1119,Table4[[#All],[Cost Center]:[Client Type]],2,TRUE)</f>
        <v>6</v>
      </c>
      <c r="I1119" t="str">
        <f>VLOOKUP(G1119,Table4[[#All],[Cost Center]:[Client Type]],3,TRUE)</f>
        <v>Creek</v>
      </c>
      <c r="J1119" t="str">
        <f>VLOOKUP(G1119,Table4[[#All],[Cost Center]:[Client Type]],5,TRUE)</f>
        <v>Osama Mezayn</v>
      </c>
    </row>
    <row r="1120" spans="6:10" x14ac:dyDescent="0.25">
      <c r="F1120" t="s">
        <v>97</v>
      </c>
      <c r="G1120" s="7" cm="1">
        <f t="array" ref="G1120">INT(planned(F1120))</f>
        <v>138</v>
      </c>
      <c r="H1120">
        <f>VLOOKUP(G1120,Table4[[#All],[Cost Center]:[Client Type]],2,TRUE)</f>
        <v>6</v>
      </c>
      <c r="I1120" t="str">
        <f>VLOOKUP(G1120,Table4[[#All],[Cost Center]:[Client Type]],3,TRUE)</f>
        <v>Creek</v>
      </c>
      <c r="J1120" t="str">
        <f>VLOOKUP(G1120,Table4[[#All],[Cost Center]:[Client Type]],5,TRUE)</f>
        <v>Osama Mezayn</v>
      </c>
    </row>
    <row r="1121" spans="6:10" x14ac:dyDescent="0.25">
      <c r="F1121" t="s">
        <v>97</v>
      </c>
      <c r="G1121" s="7" cm="1">
        <f t="array" ref="G1121">INT(planned(F1121))</f>
        <v>138</v>
      </c>
      <c r="H1121">
        <f>VLOOKUP(G1121,Table4[[#All],[Cost Center]:[Client Type]],2,TRUE)</f>
        <v>6</v>
      </c>
      <c r="I1121" t="str">
        <f>VLOOKUP(G1121,Table4[[#All],[Cost Center]:[Client Type]],3,TRUE)</f>
        <v>Creek</v>
      </c>
      <c r="J1121" t="str">
        <f>VLOOKUP(G1121,Table4[[#All],[Cost Center]:[Client Type]],5,TRUE)</f>
        <v>Osama Mezayn</v>
      </c>
    </row>
    <row r="1122" spans="6:10" x14ac:dyDescent="0.25">
      <c r="F1122" t="s">
        <v>97</v>
      </c>
      <c r="G1122" s="7" cm="1">
        <f t="array" ref="G1122">INT(planned(F1122))</f>
        <v>138</v>
      </c>
      <c r="H1122">
        <f>VLOOKUP(G1122,Table4[[#All],[Cost Center]:[Client Type]],2,TRUE)</f>
        <v>6</v>
      </c>
      <c r="I1122" t="str">
        <f>VLOOKUP(G1122,Table4[[#All],[Cost Center]:[Client Type]],3,TRUE)</f>
        <v>Creek</v>
      </c>
      <c r="J1122" t="str">
        <f>VLOOKUP(G1122,Table4[[#All],[Cost Center]:[Client Type]],5,TRUE)</f>
        <v>Osama Mezayn</v>
      </c>
    </row>
    <row r="1123" spans="6:10" x14ac:dyDescent="0.25">
      <c r="F1123" t="s">
        <v>97</v>
      </c>
      <c r="G1123" s="7" cm="1">
        <f t="array" ref="G1123">INT(planned(F1123))</f>
        <v>138</v>
      </c>
      <c r="H1123">
        <f>VLOOKUP(G1123,Table4[[#All],[Cost Center]:[Client Type]],2,TRUE)</f>
        <v>6</v>
      </c>
      <c r="I1123" t="str">
        <f>VLOOKUP(G1123,Table4[[#All],[Cost Center]:[Client Type]],3,TRUE)</f>
        <v>Creek</v>
      </c>
      <c r="J1123" t="str">
        <f>VLOOKUP(G1123,Table4[[#All],[Cost Center]:[Client Type]],5,TRUE)</f>
        <v>Osama Mezayn</v>
      </c>
    </row>
    <row r="1124" spans="6:10" x14ac:dyDescent="0.25">
      <c r="F1124" t="s">
        <v>97</v>
      </c>
      <c r="G1124" s="7" cm="1">
        <f t="array" ref="G1124">INT(planned(F1124))</f>
        <v>138</v>
      </c>
      <c r="H1124">
        <f>VLOOKUP(G1124,Table4[[#All],[Cost Center]:[Client Type]],2,TRUE)</f>
        <v>6</v>
      </c>
      <c r="I1124" t="str">
        <f>VLOOKUP(G1124,Table4[[#All],[Cost Center]:[Client Type]],3,TRUE)</f>
        <v>Creek</v>
      </c>
      <c r="J1124" t="str">
        <f>VLOOKUP(G1124,Table4[[#All],[Cost Center]:[Client Type]],5,TRUE)</f>
        <v>Osama Mezayn</v>
      </c>
    </row>
    <row r="1125" spans="6:10" x14ac:dyDescent="0.25">
      <c r="F1125" t="s">
        <v>97</v>
      </c>
      <c r="G1125" s="7" cm="1">
        <f t="array" ref="G1125">INT(planned(F1125))</f>
        <v>138</v>
      </c>
      <c r="H1125">
        <f>VLOOKUP(G1125,Table4[[#All],[Cost Center]:[Client Type]],2,TRUE)</f>
        <v>6</v>
      </c>
      <c r="I1125" t="str">
        <f>VLOOKUP(G1125,Table4[[#All],[Cost Center]:[Client Type]],3,TRUE)</f>
        <v>Creek</v>
      </c>
      <c r="J1125" t="str">
        <f>VLOOKUP(G1125,Table4[[#All],[Cost Center]:[Client Type]],5,TRUE)</f>
        <v>Osama Mezayn</v>
      </c>
    </row>
    <row r="1126" spans="6:10" x14ac:dyDescent="0.25">
      <c r="F1126" t="s">
        <v>97</v>
      </c>
      <c r="G1126" s="7" cm="1">
        <f t="array" ref="G1126">INT(planned(F1126))</f>
        <v>138</v>
      </c>
      <c r="H1126">
        <f>VLOOKUP(G1126,Table4[[#All],[Cost Center]:[Client Type]],2,TRUE)</f>
        <v>6</v>
      </c>
      <c r="I1126" t="str">
        <f>VLOOKUP(G1126,Table4[[#All],[Cost Center]:[Client Type]],3,TRUE)</f>
        <v>Creek</v>
      </c>
      <c r="J1126" t="str">
        <f>VLOOKUP(G1126,Table4[[#All],[Cost Center]:[Client Type]],5,TRUE)</f>
        <v>Osama Mezayn</v>
      </c>
    </row>
    <row r="1127" spans="6:10" x14ac:dyDescent="0.25">
      <c r="F1127" t="s">
        <v>97</v>
      </c>
      <c r="G1127" s="7" cm="1">
        <f t="array" ref="G1127">INT(planned(F1127))</f>
        <v>138</v>
      </c>
      <c r="H1127">
        <f>VLOOKUP(G1127,Table4[[#All],[Cost Center]:[Client Type]],2,TRUE)</f>
        <v>6</v>
      </c>
      <c r="I1127" t="str">
        <f>VLOOKUP(G1127,Table4[[#All],[Cost Center]:[Client Type]],3,TRUE)</f>
        <v>Creek</v>
      </c>
      <c r="J1127" t="str">
        <f>VLOOKUP(G1127,Table4[[#All],[Cost Center]:[Client Type]],5,TRUE)</f>
        <v>Osama Mezayn</v>
      </c>
    </row>
    <row r="1128" spans="6:10" x14ac:dyDescent="0.25">
      <c r="F1128" t="s">
        <v>97</v>
      </c>
      <c r="G1128" s="7" cm="1">
        <f t="array" ref="G1128">INT(planned(F1128))</f>
        <v>138</v>
      </c>
      <c r="H1128">
        <f>VLOOKUP(G1128,Table4[[#All],[Cost Center]:[Client Type]],2,TRUE)</f>
        <v>6</v>
      </c>
      <c r="I1128" t="str">
        <f>VLOOKUP(G1128,Table4[[#All],[Cost Center]:[Client Type]],3,TRUE)</f>
        <v>Creek</v>
      </c>
      <c r="J1128" t="str">
        <f>VLOOKUP(G1128,Table4[[#All],[Cost Center]:[Client Type]],5,TRUE)</f>
        <v>Osama Mezayn</v>
      </c>
    </row>
    <row r="1129" spans="6:10" x14ac:dyDescent="0.25">
      <c r="F1129" t="s">
        <v>97</v>
      </c>
      <c r="G1129" s="7" cm="1">
        <f t="array" ref="G1129">INT(planned(F1129))</f>
        <v>138</v>
      </c>
      <c r="H1129">
        <f>VLOOKUP(G1129,Table4[[#All],[Cost Center]:[Client Type]],2,TRUE)</f>
        <v>6</v>
      </c>
      <c r="I1129" t="str">
        <f>VLOOKUP(G1129,Table4[[#All],[Cost Center]:[Client Type]],3,TRUE)</f>
        <v>Creek</v>
      </c>
      <c r="J1129" t="str">
        <f>VLOOKUP(G1129,Table4[[#All],[Cost Center]:[Client Type]],5,TRUE)</f>
        <v>Osama Mezayn</v>
      </c>
    </row>
    <row r="1130" spans="6:10" x14ac:dyDescent="0.25">
      <c r="F1130" t="s">
        <v>97</v>
      </c>
      <c r="G1130" s="7" cm="1">
        <f t="array" ref="G1130">INT(planned(F1130))</f>
        <v>138</v>
      </c>
      <c r="H1130">
        <f>VLOOKUP(G1130,Table4[[#All],[Cost Center]:[Client Type]],2,TRUE)</f>
        <v>6</v>
      </c>
      <c r="I1130" t="str">
        <f>VLOOKUP(G1130,Table4[[#All],[Cost Center]:[Client Type]],3,TRUE)</f>
        <v>Creek</v>
      </c>
      <c r="J1130" t="str">
        <f>VLOOKUP(G1130,Table4[[#All],[Cost Center]:[Client Type]],5,TRUE)</f>
        <v>Osama Mezayn</v>
      </c>
    </row>
    <row r="1131" spans="6:10" x14ac:dyDescent="0.25">
      <c r="F1131" t="s">
        <v>97</v>
      </c>
      <c r="G1131" s="7" cm="1">
        <f t="array" ref="G1131">INT(planned(F1131))</f>
        <v>138</v>
      </c>
      <c r="H1131">
        <f>VLOOKUP(G1131,Table4[[#All],[Cost Center]:[Client Type]],2,TRUE)</f>
        <v>6</v>
      </c>
      <c r="I1131" t="str">
        <f>VLOOKUP(G1131,Table4[[#All],[Cost Center]:[Client Type]],3,TRUE)</f>
        <v>Creek</v>
      </c>
      <c r="J1131" t="str">
        <f>VLOOKUP(G1131,Table4[[#All],[Cost Center]:[Client Type]],5,TRUE)</f>
        <v>Osama Mezayn</v>
      </c>
    </row>
    <row r="1132" spans="6:10" x14ac:dyDescent="0.25">
      <c r="F1132" t="s">
        <v>97</v>
      </c>
      <c r="G1132" s="7" cm="1">
        <f t="array" ref="G1132">INT(planned(F1132))</f>
        <v>138</v>
      </c>
      <c r="H1132">
        <f>VLOOKUP(G1132,Table4[[#All],[Cost Center]:[Client Type]],2,TRUE)</f>
        <v>6</v>
      </c>
      <c r="I1132" t="str">
        <f>VLOOKUP(G1132,Table4[[#All],[Cost Center]:[Client Type]],3,TRUE)</f>
        <v>Creek</v>
      </c>
      <c r="J1132" t="str">
        <f>VLOOKUP(G1132,Table4[[#All],[Cost Center]:[Client Type]],5,TRUE)</f>
        <v>Osama Mezayn</v>
      </c>
    </row>
    <row r="1133" spans="6:10" x14ac:dyDescent="0.25">
      <c r="F1133" t="s">
        <v>97</v>
      </c>
      <c r="G1133" s="7" cm="1">
        <f t="array" ref="G1133">INT(planned(F1133))</f>
        <v>138</v>
      </c>
      <c r="H1133">
        <f>VLOOKUP(G1133,Table4[[#All],[Cost Center]:[Client Type]],2,TRUE)</f>
        <v>6</v>
      </c>
      <c r="I1133" t="str">
        <f>VLOOKUP(G1133,Table4[[#All],[Cost Center]:[Client Type]],3,TRUE)</f>
        <v>Creek</v>
      </c>
      <c r="J1133" t="str">
        <f>VLOOKUP(G1133,Table4[[#All],[Cost Center]:[Client Type]],5,TRUE)</f>
        <v>Osama Mezayn</v>
      </c>
    </row>
    <row r="1134" spans="6:10" x14ac:dyDescent="0.25">
      <c r="F1134" t="s">
        <v>97</v>
      </c>
      <c r="G1134" s="7" cm="1">
        <f t="array" ref="G1134">INT(planned(F1134))</f>
        <v>138</v>
      </c>
      <c r="H1134">
        <f>VLOOKUP(G1134,Table4[[#All],[Cost Center]:[Client Type]],2,TRUE)</f>
        <v>6</v>
      </c>
      <c r="I1134" t="str">
        <f>VLOOKUP(G1134,Table4[[#All],[Cost Center]:[Client Type]],3,TRUE)</f>
        <v>Creek</v>
      </c>
      <c r="J1134" t="str">
        <f>VLOOKUP(G1134,Table4[[#All],[Cost Center]:[Client Type]],5,TRUE)</f>
        <v>Osama Mezayn</v>
      </c>
    </row>
    <row r="1135" spans="6:10" x14ac:dyDescent="0.25">
      <c r="F1135" t="s">
        <v>97</v>
      </c>
      <c r="G1135" s="7" cm="1">
        <f t="array" ref="G1135">INT(planned(F1135))</f>
        <v>138</v>
      </c>
      <c r="H1135">
        <f>VLOOKUP(G1135,Table4[[#All],[Cost Center]:[Client Type]],2,TRUE)</f>
        <v>6</v>
      </c>
      <c r="I1135" t="str">
        <f>VLOOKUP(G1135,Table4[[#All],[Cost Center]:[Client Type]],3,TRUE)</f>
        <v>Creek</v>
      </c>
      <c r="J1135" t="str">
        <f>VLOOKUP(G1135,Table4[[#All],[Cost Center]:[Client Type]],5,TRUE)</f>
        <v>Osama Mezayn</v>
      </c>
    </row>
    <row r="1136" spans="6:10" x14ac:dyDescent="0.25">
      <c r="F1136" t="s">
        <v>97</v>
      </c>
      <c r="G1136" s="7" cm="1">
        <f t="array" ref="G1136">INT(planned(F1136))</f>
        <v>138</v>
      </c>
      <c r="H1136">
        <f>VLOOKUP(G1136,Table4[[#All],[Cost Center]:[Client Type]],2,TRUE)</f>
        <v>6</v>
      </c>
      <c r="I1136" t="str">
        <f>VLOOKUP(G1136,Table4[[#All],[Cost Center]:[Client Type]],3,TRUE)</f>
        <v>Creek</v>
      </c>
      <c r="J1136" t="str">
        <f>VLOOKUP(G1136,Table4[[#All],[Cost Center]:[Client Type]],5,TRUE)</f>
        <v>Osama Mezayn</v>
      </c>
    </row>
    <row r="1137" spans="6:10" x14ac:dyDescent="0.25">
      <c r="F1137" t="s">
        <v>97</v>
      </c>
      <c r="G1137" s="7" cm="1">
        <f t="array" ref="G1137">INT(planned(F1137))</f>
        <v>138</v>
      </c>
      <c r="H1137">
        <f>VLOOKUP(G1137,Table4[[#All],[Cost Center]:[Client Type]],2,TRUE)</f>
        <v>6</v>
      </c>
      <c r="I1137" t="str">
        <f>VLOOKUP(G1137,Table4[[#All],[Cost Center]:[Client Type]],3,TRUE)</f>
        <v>Creek</v>
      </c>
      <c r="J1137" t="str">
        <f>VLOOKUP(G1137,Table4[[#All],[Cost Center]:[Client Type]],5,TRUE)</f>
        <v>Osama Mezayn</v>
      </c>
    </row>
    <row r="1138" spans="6:10" x14ac:dyDescent="0.25">
      <c r="F1138" t="s">
        <v>97</v>
      </c>
      <c r="G1138" s="7" cm="1">
        <f t="array" ref="G1138">INT(planned(F1138))</f>
        <v>138</v>
      </c>
      <c r="H1138">
        <f>VLOOKUP(G1138,Table4[[#All],[Cost Center]:[Client Type]],2,TRUE)</f>
        <v>6</v>
      </c>
      <c r="I1138" t="str">
        <f>VLOOKUP(G1138,Table4[[#All],[Cost Center]:[Client Type]],3,TRUE)</f>
        <v>Creek</v>
      </c>
      <c r="J1138" t="str">
        <f>VLOOKUP(G1138,Table4[[#All],[Cost Center]:[Client Type]],5,TRUE)</f>
        <v>Osama Mezayn</v>
      </c>
    </row>
    <row r="1139" spans="6:10" x14ac:dyDescent="0.25">
      <c r="F1139" t="s">
        <v>348</v>
      </c>
      <c r="G1139" s="7" cm="1">
        <f t="array" ref="G1139">INT(planned(F1139))</f>
        <v>192</v>
      </c>
      <c r="H1139">
        <f>VLOOKUP(G1139,Table4[[#All],[Cost Center]:[Client Type]],2,TRUE)</f>
        <v>135</v>
      </c>
      <c r="I1139" t="str">
        <f>VLOOKUP(G1139,Table4[[#All],[Cost Center]:[Client Type]],3,TRUE)</f>
        <v>Creeks URBN-K</v>
      </c>
      <c r="J1139" t="str">
        <f>VLOOKUP(G1139,Table4[[#All],[Cost Center]:[Client Type]],5,TRUE)</f>
        <v>Osama Mezayn</v>
      </c>
    </row>
    <row r="1140" spans="6:10" x14ac:dyDescent="0.25">
      <c r="F1140" t="s">
        <v>348</v>
      </c>
      <c r="G1140" s="7" cm="1">
        <f t="array" ref="G1140">INT(planned(F1140))</f>
        <v>192</v>
      </c>
      <c r="H1140">
        <f>VLOOKUP(G1140,Table4[[#All],[Cost Center]:[Client Type]],2,TRUE)</f>
        <v>135</v>
      </c>
      <c r="I1140" t="str">
        <f>VLOOKUP(G1140,Table4[[#All],[Cost Center]:[Client Type]],3,TRUE)</f>
        <v>Creeks URBN-K</v>
      </c>
      <c r="J1140" t="str">
        <f>VLOOKUP(G1140,Table4[[#All],[Cost Center]:[Client Type]],5,TRUE)</f>
        <v>Osama Mezayn</v>
      </c>
    </row>
    <row r="1141" spans="6:10" x14ac:dyDescent="0.25">
      <c r="F1141" t="s">
        <v>348</v>
      </c>
      <c r="G1141" s="7" cm="1">
        <f t="array" ref="G1141">INT(planned(F1141))</f>
        <v>192</v>
      </c>
      <c r="H1141">
        <f>VLOOKUP(G1141,Table4[[#All],[Cost Center]:[Client Type]],2,TRUE)</f>
        <v>135</v>
      </c>
      <c r="I1141" t="str">
        <f>VLOOKUP(G1141,Table4[[#All],[Cost Center]:[Client Type]],3,TRUE)</f>
        <v>Creeks URBN-K</v>
      </c>
      <c r="J1141" t="str">
        <f>VLOOKUP(G1141,Table4[[#All],[Cost Center]:[Client Type]],5,TRUE)</f>
        <v>Osama Mezayn</v>
      </c>
    </row>
    <row r="1142" spans="6:10" x14ac:dyDescent="0.25">
      <c r="F1142" t="s">
        <v>348</v>
      </c>
      <c r="G1142" s="7" cm="1">
        <f t="array" ref="G1142">INT(planned(F1142))</f>
        <v>192</v>
      </c>
      <c r="H1142">
        <f>VLOOKUP(G1142,Table4[[#All],[Cost Center]:[Client Type]],2,TRUE)</f>
        <v>135</v>
      </c>
      <c r="I1142" t="str">
        <f>VLOOKUP(G1142,Table4[[#All],[Cost Center]:[Client Type]],3,TRUE)</f>
        <v>Creeks URBN-K</v>
      </c>
      <c r="J1142" t="str">
        <f>VLOOKUP(G1142,Table4[[#All],[Cost Center]:[Client Type]],5,TRUE)</f>
        <v>Osama Mezayn</v>
      </c>
    </row>
    <row r="1143" spans="6:10" x14ac:dyDescent="0.25">
      <c r="F1143" t="s">
        <v>348</v>
      </c>
      <c r="G1143" s="7" cm="1">
        <f t="array" ref="G1143">INT(planned(F1143))</f>
        <v>192</v>
      </c>
      <c r="H1143">
        <f>VLOOKUP(G1143,Table4[[#All],[Cost Center]:[Client Type]],2,TRUE)</f>
        <v>135</v>
      </c>
      <c r="I1143" t="str">
        <f>VLOOKUP(G1143,Table4[[#All],[Cost Center]:[Client Type]],3,TRUE)</f>
        <v>Creeks URBN-K</v>
      </c>
      <c r="J1143" t="str">
        <f>VLOOKUP(G1143,Table4[[#All],[Cost Center]:[Client Type]],5,TRUE)</f>
        <v>Osama Mezayn</v>
      </c>
    </row>
    <row r="1144" spans="6:10" x14ac:dyDescent="0.25">
      <c r="F1144" t="s">
        <v>348</v>
      </c>
      <c r="G1144" s="7" cm="1">
        <f t="array" ref="G1144">INT(planned(F1144))</f>
        <v>192</v>
      </c>
      <c r="H1144">
        <f>VLOOKUP(G1144,Table4[[#All],[Cost Center]:[Client Type]],2,TRUE)</f>
        <v>135</v>
      </c>
      <c r="I1144" t="str">
        <f>VLOOKUP(G1144,Table4[[#All],[Cost Center]:[Client Type]],3,TRUE)</f>
        <v>Creeks URBN-K</v>
      </c>
      <c r="J1144" t="str">
        <f>VLOOKUP(G1144,Table4[[#All],[Cost Center]:[Client Type]],5,TRUE)</f>
        <v>Osama Mezayn</v>
      </c>
    </row>
    <row r="1145" spans="6:10" x14ac:dyDescent="0.25">
      <c r="F1145" t="s">
        <v>348</v>
      </c>
      <c r="G1145" s="7" cm="1">
        <f t="array" ref="G1145">INT(planned(F1145))</f>
        <v>192</v>
      </c>
      <c r="H1145">
        <f>VLOOKUP(G1145,Table4[[#All],[Cost Center]:[Client Type]],2,TRUE)</f>
        <v>135</v>
      </c>
      <c r="I1145" t="str">
        <f>VLOOKUP(G1145,Table4[[#All],[Cost Center]:[Client Type]],3,TRUE)</f>
        <v>Creeks URBN-K</v>
      </c>
      <c r="J1145" t="str">
        <f>VLOOKUP(G1145,Table4[[#All],[Cost Center]:[Client Type]],5,TRUE)</f>
        <v>Osama Mezayn</v>
      </c>
    </row>
    <row r="1146" spans="6:10" x14ac:dyDescent="0.25">
      <c r="F1146" t="s">
        <v>348</v>
      </c>
      <c r="G1146" s="7" cm="1">
        <f t="array" ref="G1146">INT(planned(F1146))</f>
        <v>192</v>
      </c>
      <c r="H1146">
        <f>VLOOKUP(G1146,Table4[[#All],[Cost Center]:[Client Type]],2,TRUE)</f>
        <v>135</v>
      </c>
      <c r="I1146" t="str">
        <f>VLOOKUP(G1146,Table4[[#All],[Cost Center]:[Client Type]],3,TRUE)</f>
        <v>Creeks URBN-K</v>
      </c>
      <c r="J1146" t="str">
        <f>VLOOKUP(G1146,Table4[[#All],[Cost Center]:[Client Type]],5,TRUE)</f>
        <v>Osama Mezayn</v>
      </c>
    </row>
    <row r="1147" spans="6:10" x14ac:dyDescent="0.25">
      <c r="F1147" t="s">
        <v>348</v>
      </c>
      <c r="G1147" s="7" cm="1">
        <f t="array" ref="G1147">INT(planned(F1147))</f>
        <v>192</v>
      </c>
      <c r="H1147">
        <f>VLOOKUP(G1147,Table4[[#All],[Cost Center]:[Client Type]],2,TRUE)</f>
        <v>135</v>
      </c>
      <c r="I1147" t="str">
        <f>VLOOKUP(G1147,Table4[[#All],[Cost Center]:[Client Type]],3,TRUE)</f>
        <v>Creeks URBN-K</v>
      </c>
      <c r="J1147" t="str">
        <f>VLOOKUP(G1147,Table4[[#All],[Cost Center]:[Client Type]],5,TRUE)</f>
        <v>Osama Mezayn</v>
      </c>
    </row>
    <row r="1148" spans="6:10" x14ac:dyDescent="0.25">
      <c r="F1148" t="s">
        <v>348</v>
      </c>
      <c r="G1148" s="7" cm="1">
        <f t="array" ref="G1148">INT(planned(F1148))</f>
        <v>192</v>
      </c>
      <c r="H1148">
        <f>VLOOKUP(G1148,Table4[[#All],[Cost Center]:[Client Type]],2,TRUE)</f>
        <v>135</v>
      </c>
      <c r="I1148" t="str">
        <f>VLOOKUP(G1148,Table4[[#All],[Cost Center]:[Client Type]],3,TRUE)</f>
        <v>Creeks URBN-K</v>
      </c>
      <c r="J1148" t="str">
        <f>VLOOKUP(G1148,Table4[[#All],[Cost Center]:[Client Type]],5,TRUE)</f>
        <v>Osama Mezayn</v>
      </c>
    </row>
    <row r="1149" spans="6:10" x14ac:dyDescent="0.25">
      <c r="F1149" t="s">
        <v>348</v>
      </c>
      <c r="G1149" s="7" cm="1">
        <f t="array" ref="G1149">INT(planned(F1149))</f>
        <v>192</v>
      </c>
      <c r="H1149">
        <f>VLOOKUP(G1149,Table4[[#All],[Cost Center]:[Client Type]],2,TRUE)</f>
        <v>135</v>
      </c>
      <c r="I1149" t="str">
        <f>VLOOKUP(G1149,Table4[[#All],[Cost Center]:[Client Type]],3,TRUE)</f>
        <v>Creeks URBN-K</v>
      </c>
      <c r="J1149" t="str">
        <f>VLOOKUP(G1149,Table4[[#All],[Cost Center]:[Client Type]],5,TRUE)</f>
        <v>Osama Mezayn</v>
      </c>
    </row>
    <row r="1150" spans="6:10" x14ac:dyDescent="0.25">
      <c r="F1150" t="s">
        <v>348</v>
      </c>
      <c r="G1150" s="7" cm="1">
        <f t="array" ref="G1150">INT(planned(F1150))</f>
        <v>192</v>
      </c>
      <c r="H1150">
        <f>VLOOKUP(G1150,Table4[[#All],[Cost Center]:[Client Type]],2,TRUE)</f>
        <v>135</v>
      </c>
      <c r="I1150" t="str">
        <f>VLOOKUP(G1150,Table4[[#All],[Cost Center]:[Client Type]],3,TRUE)</f>
        <v>Creeks URBN-K</v>
      </c>
      <c r="J1150" t="str">
        <f>VLOOKUP(G1150,Table4[[#All],[Cost Center]:[Client Type]],5,TRUE)</f>
        <v>Osama Mezayn</v>
      </c>
    </row>
    <row r="1151" spans="6:10" x14ac:dyDescent="0.25">
      <c r="F1151" t="s">
        <v>348</v>
      </c>
      <c r="G1151" s="7" cm="1">
        <f t="array" ref="G1151">INT(planned(F1151))</f>
        <v>192</v>
      </c>
      <c r="H1151">
        <f>VLOOKUP(G1151,Table4[[#All],[Cost Center]:[Client Type]],2,TRUE)</f>
        <v>135</v>
      </c>
      <c r="I1151" t="str">
        <f>VLOOKUP(G1151,Table4[[#All],[Cost Center]:[Client Type]],3,TRUE)</f>
        <v>Creeks URBN-K</v>
      </c>
      <c r="J1151" t="str">
        <f>VLOOKUP(G1151,Table4[[#All],[Cost Center]:[Client Type]],5,TRUE)</f>
        <v>Osama Mezayn</v>
      </c>
    </row>
    <row r="1152" spans="6:10" x14ac:dyDescent="0.25">
      <c r="F1152" t="s">
        <v>348</v>
      </c>
      <c r="G1152" s="7" cm="1">
        <f t="array" ref="G1152">INT(planned(F1152))</f>
        <v>192</v>
      </c>
      <c r="H1152">
        <f>VLOOKUP(G1152,Table4[[#All],[Cost Center]:[Client Type]],2,TRUE)</f>
        <v>135</v>
      </c>
      <c r="I1152" t="str">
        <f>VLOOKUP(G1152,Table4[[#All],[Cost Center]:[Client Type]],3,TRUE)</f>
        <v>Creeks URBN-K</v>
      </c>
      <c r="J1152" t="str">
        <f>VLOOKUP(G1152,Table4[[#All],[Cost Center]:[Client Type]],5,TRUE)</f>
        <v>Osama Mezayn</v>
      </c>
    </row>
    <row r="1153" spans="6:10" x14ac:dyDescent="0.25">
      <c r="F1153" t="s">
        <v>348</v>
      </c>
      <c r="G1153" s="7" cm="1">
        <f t="array" ref="G1153">INT(planned(F1153))</f>
        <v>192</v>
      </c>
      <c r="H1153">
        <f>VLOOKUP(G1153,Table4[[#All],[Cost Center]:[Client Type]],2,TRUE)</f>
        <v>135</v>
      </c>
      <c r="I1153" t="str">
        <f>VLOOKUP(G1153,Table4[[#All],[Cost Center]:[Client Type]],3,TRUE)</f>
        <v>Creeks URBN-K</v>
      </c>
      <c r="J1153" t="str">
        <f>VLOOKUP(G1153,Table4[[#All],[Cost Center]:[Client Type]],5,TRUE)</f>
        <v>Osama Mezayn</v>
      </c>
    </row>
    <row r="1154" spans="6:10" x14ac:dyDescent="0.25">
      <c r="F1154" t="s">
        <v>348</v>
      </c>
      <c r="G1154" s="7" cm="1">
        <f t="array" ref="G1154">INT(planned(F1154))</f>
        <v>192</v>
      </c>
      <c r="H1154">
        <f>VLOOKUP(G1154,Table4[[#All],[Cost Center]:[Client Type]],2,TRUE)</f>
        <v>135</v>
      </c>
      <c r="I1154" t="str">
        <f>VLOOKUP(G1154,Table4[[#All],[Cost Center]:[Client Type]],3,TRUE)</f>
        <v>Creeks URBN-K</v>
      </c>
      <c r="J1154" t="str">
        <f>VLOOKUP(G1154,Table4[[#All],[Cost Center]:[Client Type]],5,TRUE)</f>
        <v>Osama Mezayn</v>
      </c>
    </row>
    <row r="1155" spans="6:10" x14ac:dyDescent="0.25">
      <c r="F1155" t="s">
        <v>348</v>
      </c>
      <c r="G1155" s="7" cm="1">
        <f t="array" ref="G1155">INT(planned(F1155))</f>
        <v>192</v>
      </c>
      <c r="H1155">
        <f>VLOOKUP(G1155,Table4[[#All],[Cost Center]:[Client Type]],2,TRUE)</f>
        <v>135</v>
      </c>
      <c r="I1155" t="str">
        <f>VLOOKUP(G1155,Table4[[#All],[Cost Center]:[Client Type]],3,TRUE)</f>
        <v>Creeks URBN-K</v>
      </c>
      <c r="J1155" t="str">
        <f>VLOOKUP(G1155,Table4[[#All],[Cost Center]:[Client Type]],5,TRUE)</f>
        <v>Osama Mezayn</v>
      </c>
    </row>
    <row r="1156" spans="6:10" x14ac:dyDescent="0.25">
      <c r="F1156" t="s">
        <v>348</v>
      </c>
      <c r="G1156" s="7" cm="1">
        <f t="array" ref="G1156">INT(planned(F1156))</f>
        <v>192</v>
      </c>
      <c r="H1156">
        <f>VLOOKUP(G1156,Table4[[#All],[Cost Center]:[Client Type]],2,TRUE)</f>
        <v>135</v>
      </c>
      <c r="I1156" t="str">
        <f>VLOOKUP(G1156,Table4[[#All],[Cost Center]:[Client Type]],3,TRUE)</f>
        <v>Creeks URBN-K</v>
      </c>
      <c r="J1156" t="str">
        <f>VLOOKUP(G1156,Table4[[#All],[Cost Center]:[Client Type]],5,TRUE)</f>
        <v>Osama Mezayn</v>
      </c>
    </row>
    <row r="1157" spans="6:10" x14ac:dyDescent="0.25">
      <c r="F1157" t="s">
        <v>348</v>
      </c>
      <c r="G1157" s="7" cm="1">
        <f t="array" ref="G1157">INT(planned(F1157))</f>
        <v>192</v>
      </c>
      <c r="H1157">
        <f>VLOOKUP(G1157,Table4[[#All],[Cost Center]:[Client Type]],2,TRUE)</f>
        <v>135</v>
      </c>
      <c r="I1157" t="str">
        <f>VLOOKUP(G1157,Table4[[#All],[Cost Center]:[Client Type]],3,TRUE)</f>
        <v>Creeks URBN-K</v>
      </c>
      <c r="J1157" t="str">
        <f>VLOOKUP(G1157,Table4[[#All],[Cost Center]:[Client Type]],5,TRUE)</f>
        <v>Osama Mezayn</v>
      </c>
    </row>
    <row r="1158" spans="6:10" x14ac:dyDescent="0.25">
      <c r="F1158" t="s">
        <v>348</v>
      </c>
      <c r="G1158" s="7" cm="1">
        <f t="array" ref="G1158">INT(planned(F1158))</f>
        <v>192</v>
      </c>
      <c r="H1158">
        <f>VLOOKUP(G1158,Table4[[#All],[Cost Center]:[Client Type]],2,TRUE)</f>
        <v>135</v>
      </c>
      <c r="I1158" t="str">
        <f>VLOOKUP(G1158,Table4[[#All],[Cost Center]:[Client Type]],3,TRUE)</f>
        <v>Creeks URBN-K</v>
      </c>
      <c r="J1158" t="str">
        <f>VLOOKUP(G1158,Table4[[#All],[Cost Center]:[Client Type]],5,TRUE)</f>
        <v>Osama Mezayn</v>
      </c>
    </row>
    <row r="1159" spans="6:10" x14ac:dyDescent="0.25">
      <c r="F1159" t="s">
        <v>348</v>
      </c>
      <c r="G1159" s="7" cm="1">
        <f t="array" ref="G1159">INT(planned(F1159))</f>
        <v>192</v>
      </c>
      <c r="H1159">
        <f>VLOOKUP(G1159,Table4[[#All],[Cost Center]:[Client Type]],2,TRUE)</f>
        <v>135</v>
      </c>
      <c r="I1159" t="str">
        <f>VLOOKUP(G1159,Table4[[#All],[Cost Center]:[Client Type]],3,TRUE)</f>
        <v>Creeks URBN-K</v>
      </c>
      <c r="J1159" t="str">
        <f>VLOOKUP(G1159,Table4[[#All],[Cost Center]:[Client Type]],5,TRUE)</f>
        <v>Osama Mezayn</v>
      </c>
    </row>
    <row r="1160" spans="6:10" x14ac:dyDescent="0.25">
      <c r="F1160" t="s">
        <v>348</v>
      </c>
      <c r="G1160" s="7" cm="1">
        <f t="array" ref="G1160">INT(planned(F1160))</f>
        <v>192</v>
      </c>
      <c r="H1160">
        <f>VLOOKUP(G1160,Table4[[#All],[Cost Center]:[Client Type]],2,TRUE)</f>
        <v>135</v>
      </c>
      <c r="I1160" t="str">
        <f>VLOOKUP(G1160,Table4[[#All],[Cost Center]:[Client Type]],3,TRUE)</f>
        <v>Creeks URBN-K</v>
      </c>
      <c r="J1160" t="str">
        <f>VLOOKUP(G1160,Table4[[#All],[Cost Center]:[Client Type]],5,TRUE)</f>
        <v>Osama Mezayn</v>
      </c>
    </row>
    <row r="1161" spans="6:10" x14ac:dyDescent="0.25">
      <c r="F1161" t="s">
        <v>348</v>
      </c>
      <c r="G1161" s="7" cm="1">
        <f t="array" ref="G1161">INT(planned(F1161))</f>
        <v>192</v>
      </c>
      <c r="H1161">
        <f>VLOOKUP(G1161,Table4[[#All],[Cost Center]:[Client Type]],2,TRUE)</f>
        <v>135</v>
      </c>
      <c r="I1161" t="str">
        <f>VLOOKUP(G1161,Table4[[#All],[Cost Center]:[Client Type]],3,TRUE)</f>
        <v>Creeks URBN-K</v>
      </c>
      <c r="J1161" t="str">
        <f>VLOOKUP(G1161,Table4[[#All],[Cost Center]:[Client Type]],5,TRUE)</f>
        <v>Osama Mezayn</v>
      </c>
    </row>
    <row r="1162" spans="6:10" x14ac:dyDescent="0.25">
      <c r="F1162" t="s">
        <v>348</v>
      </c>
      <c r="G1162" s="7" cm="1">
        <f t="array" ref="G1162">INT(planned(F1162))</f>
        <v>192</v>
      </c>
      <c r="H1162">
        <f>VLOOKUP(G1162,Table4[[#All],[Cost Center]:[Client Type]],2,TRUE)</f>
        <v>135</v>
      </c>
      <c r="I1162" t="str">
        <f>VLOOKUP(G1162,Table4[[#All],[Cost Center]:[Client Type]],3,TRUE)</f>
        <v>Creeks URBN-K</v>
      </c>
      <c r="J1162" t="str">
        <f>VLOOKUP(G1162,Table4[[#All],[Cost Center]:[Client Type]],5,TRUE)</f>
        <v>Osama Mezayn</v>
      </c>
    </row>
    <row r="1163" spans="6:10" x14ac:dyDescent="0.25">
      <c r="F1163" t="s">
        <v>348</v>
      </c>
      <c r="G1163" s="7" cm="1">
        <f t="array" ref="G1163">INT(planned(F1163))</f>
        <v>192</v>
      </c>
      <c r="H1163">
        <f>VLOOKUP(G1163,Table4[[#All],[Cost Center]:[Client Type]],2,TRUE)</f>
        <v>135</v>
      </c>
      <c r="I1163" t="str">
        <f>VLOOKUP(G1163,Table4[[#All],[Cost Center]:[Client Type]],3,TRUE)</f>
        <v>Creeks URBN-K</v>
      </c>
      <c r="J1163" t="str">
        <f>VLOOKUP(G1163,Table4[[#All],[Cost Center]:[Client Type]],5,TRUE)</f>
        <v>Osama Mezayn</v>
      </c>
    </row>
    <row r="1164" spans="6:10" x14ac:dyDescent="0.25">
      <c r="F1164" t="s">
        <v>348</v>
      </c>
      <c r="G1164" s="7" cm="1">
        <f t="array" ref="G1164">INT(planned(F1164))</f>
        <v>192</v>
      </c>
      <c r="H1164">
        <f>VLOOKUP(G1164,Table4[[#All],[Cost Center]:[Client Type]],2,TRUE)</f>
        <v>135</v>
      </c>
      <c r="I1164" t="str">
        <f>VLOOKUP(G1164,Table4[[#All],[Cost Center]:[Client Type]],3,TRUE)</f>
        <v>Creeks URBN-K</v>
      </c>
      <c r="J1164" t="str">
        <f>VLOOKUP(G1164,Table4[[#All],[Cost Center]:[Client Type]],5,TRUE)</f>
        <v>Osama Mezayn</v>
      </c>
    </row>
    <row r="1165" spans="6:10" x14ac:dyDescent="0.25">
      <c r="F1165" t="s">
        <v>348</v>
      </c>
      <c r="G1165" s="7" cm="1">
        <f t="array" ref="G1165">INT(planned(F1165))</f>
        <v>192</v>
      </c>
      <c r="H1165">
        <f>VLOOKUP(G1165,Table4[[#All],[Cost Center]:[Client Type]],2,TRUE)</f>
        <v>135</v>
      </c>
      <c r="I1165" t="str">
        <f>VLOOKUP(G1165,Table4[[#All],[Cost Center]:[Client Type]],3,TRUE)</f>
        <v>Creeks URBN-K</v>
      </c>
      <c r="J1165" t="str">
        <f>VLOOKUP(G1165,Table4[[#All],[Cost Center]:[Client Type]],5,TRUE)</f>
        <v>Osama Mezayn</v>
      </c>
    </row>
    <row r="1166" spans="6:10" x14ac:dyDescent="0.25">
      <c r="F1166" t="s">
        <v>348</v>
      </c>
      <c r="G1166" s="7" cm="1">
        <f t="array" ref="G1166">INT(planned(F1166))</f>
        <v>192</v>
      </c>
      <c r="H1166">
        <f>VLOOKUP(G1166,Table4[[#All],[Cost Center]:[Client Type]],2,TRUE)</f>
        <v>135</v>
      </c>
      <c r="I1166" t="str">
        <f>VLOOKUP(G1166,Table4[[#All],[Cost Center]:[Client Type]],3,TRUE)</f>
        <v>Creeks URBN-K</v>
      </c>
      <c r="J1166" t="str">
        <f>VLOOKUP(G1166,Table4[[#All],[Cost Center]:[Client Type]],5,TRUE)</f>
        <v>Osama Mezayn</v>
      </c>
    </row>
    <row r="1167" spans="6:10" x14ac:dyDescent="0.25">
      <c r="F1167" t="s">
        <v>348</v>
      </c>
      <c r="G1167" s="7" cm="1">
        <f t="array" ref="G1167">INT(planned(F1167))</f>
        <v>192</v>
      </c>
      <c r="H1167">
        <f>VLOOKUP(G1167,Table4[[#All],[Cost Center]:[Client Type]],2,TRUE)</f>
        <v>135</v>
      </c>
      <c r="I1167" t="str">
        <f>VLOOKUP(G1167,Table4[[#All],[Cost Center]:[Client Type]],3,TRUE)</f>
        <v>Creeks URBN-K</v>
      </c>
      <c r="J1167" t="str">
        <f>VLOOKUP(G1167,Table4[[#All],[Cost Center]:[Client Type]],5,TRUE)</f>
        <v>Osama Mezayn</v>
      </c>
    </row>
    <row r="1168" spans="6:10" x14ac:dyDescent="0.25">
      <c r="F1168" t="s">
        <v>348</v>
      </c>
      <c r="G1168" s="7" cm="1">
        <f t="array" ref="G1168">INT(planned(F1168))</f>
        <v>192</v>
      </c>
      <c r="H1168">
        <f>VLOOKUP(G1168,Table4[[#All],[Cost Center]:[Client Type]],2,TRUE)</f>
        <v>135</v>
      </c>
      <c r="I1168" t="str">
        <f>VLOOKUP(G1168,Table4[[#All],[Cost Center]:[Client Type]],3,TRUE)</f>
        <v>Creeks URBN-K</v>
      </c>
      <c r="J1168" t="str">
        <f>VLOOKUP(G1168,Table4[[#All],[Cost Center]:[Client Type]],5,TRUE)</f>
        <v>Osama Mezayn</v>
      </c>
    </row>
    <row r="1169" spans="6:10" x14ac:dyDescent="0.25">
      <c r="F1169" t="s">
        <v>348</v>
      </c>
      <c r="G1169" s="7" cm="1">
        <f t="array" ref="G1169">INT(planned(F1169))</f>
        <v>192</v>
      </c>
      <c r="H1169">
        <f>VLOOKUP(G1169,Table4[[#All],[Cost Center]:[Client Type]],2,TRUE)</f>
        <v>135</v>
      </c>
      <c r="I1169" t="str">
        <f>VLOOKUP(G1169,Table4[[#All],[Cost Center]:[Client Type]],3,TRUE)</f>
        <v>Creeks URBN-K</v>
      </c>
      <c r="J1169" t="str">
        <f>VLOOKUP(G1169,Table4[[#All],[Cost Center]:[Client Type]],5,TRUE)</f>
        <v>Osama Mezayn</v>
      </c>
    </row>
    <row r="1170" spans="6:10" x14ac:dyDescent="0.25">
      <c r="F1170" t="s">
        <v>348</v>
      </c>
      <c r="G1170" s="7" cm="1">
        <f t="array" ref="G1170">INT(planned(F1170))</f>
        <v>192</v>
      </c>
      <c r="H1170">
        <f>VLOOKUP(G1170,Table4[[#All],[Cost Center]:[Client Type]],2,TRUE)</f>
        <v>135</v>
      </c>
      <c r="I1170" t="str">
        <f>VLOOKUP(G1170,Table4[[#All],[Cost Center]:[Client Type]],3,TRUE)</f>
        <v>Creeks URBN-K</v>
      </c>
      <c r="J1170" t="str">
        <f>VLOOKUP(G1170,Table4[[#All],[Cost Center]:[Client Type]],5,TRUE)</f>
        <v>Osama Mezayn</v>
      </c>
    </row>
    <row r="1171" spans="6:10" x14ac:dyDescent="0.25">
      <c r="F1171" t="s">
        <v>348</v>
      </c>
      <c r="G1171" s="7" cm="1">
        <f t="array" ref="G1171">INT(planned(F1171))</f>
        <v>192</v>
      </c>
      <c r="H1171">
        <f>VLOOKUP(G1171,Table4[[#All],[Cost Center]:[Client Type]],2,TRUE)</f>
        <v>135</v>
      </c>
      <c r="I1171" t="str">
        <f>VLOOKUP(G1171,Table4[[#All],[Cost Center]:[Client Type]],3,TRUE)</f>
        <v>Creeks URBN-K</v>
      </c>
      <c r="J1171" t="str">
        <f>VLOOKUP(G1171,Table4[[#All],[Cost Center]:[Client Type]],5,TRUE)</f>
        <v>Osama Mezayn</v>
      </c>
    </row>
    <row r="1172" spans="6:10" x14ac:dyDescent="0.25">
      <c r="F1172" t="s">
        <v>348</v>
      </c>
      <c r="G1172" s="7" cm="1">
        <f t="array" ref="G1172">INT(planned(F1172))</f>
        <v>192</v>
      </c>
      <c r="H1172">
        <f>VLOOKUP(G1172,Table4[[#All],[Cost Center]:[Client Type]],2,TRUE)</f>
        <v>135</v>
      </c>
      <c r="I1172" t="str">
        <f>VLOOKUP(G1172,Table4[[#All],[Cost Center]:[Client Type]],3,TRUE)</f>
        <v>Creeks URBN-K</v>
      </c>
      <c r="J1172" t="str">
        <f>VLOOKUP(G1172,Table4[[#All],[Cost Center]:[Client Type]],5,TRUE)</f>
        <v>Osama Mezayn</v>
      </c>
    </row>
    <row r="1173" spans="6:10" x14ac:dyDescent="0.25">
      <c r="F1173" t="s">
        <v>348</v>
      </c>
      <c r="G1173" s="7" cm="1">
        <f t="array" ref="G1173">INT(planned(F1173))</f>
        <v>192</v>
      </c>
      <c r="H1173">
        <f>VLOOKUP(G1173,Table4[[#All],[Cost Center]:[Client Type]],2,TRUE)</f>
        <v>135</v>
      </c>
      <c r="I1173" t="str">
        <f>VLOOKUP(G1173,Table4[[#All],[Cost Center]:[Client Type]],3,TRUE)</f>
        <v>Creeks URBN-K</v>
      </c>
      <c r="J1173" t="str">
        <f>VLOOKUP(G1173,Table4[[#All],[Cost Center]:[Client Type]],5,TRUE)</f>
        <v>Osama Mezayn</v>
      </c>
    </row>
    <row r="1174" spans="6:10" x14ac:dyDescent="0.25">
      <c r="F1174" t="s">
        <v>348</v>
      </c>
      <c r="G1174" s="7" cm="1">
        <f t="array" ref="G1174">INT(planned(F1174))</f>
        <v>192</v>
      </c>
      <c r="H1174">
        <f>VLOOKUP(G1174,Table4[[#All],[Cost Center]:[Client Type]],2,TRUE)</f>
        <v>135</v>
      </c>
      <c r="I1174" t="str">
        <f>VLOOKUP(G1174,Table4[[#All],[Cost Center]:[Client Type]],3,TRUE)</f>
        <v>Creeks URBN-K</v>
      </c>
      <c r="J1174" t="str">
        <f>VLOOKUP(G1174,Table4[[#All],[Cost Center]:[Client Type]],5,TRUE)</f>
        <v>Osama Mezayn</v>
      </c>
    </row>
    <row r="1175" spans="6:10" x14ac:dyDescent="0.25">
      <c r="F1175" t="s">
        <v>348</v>
      </c>
      <c r="G1175" s="7" cm="1">
        <f t="array" ref="G1175">INT(planned(F1175))</f>
        <v>192</v>
      </c>
      <c r="H1175">
        <f>VLOOKUP(G1175,Table4[[#All],[Cost Center]:[Client Type]],2,TRUE)</f>
        <v>135</v>
      </c>
      <c r="I1175" t="str">
        <f>VLOOKUP(G1175,Table4[[#All],[Cost Center]:[Client Type]],3,TRUE)</f>
        <v>Creeks URBN-K</v>
      </c>
      <c r="J1175" t="str">
        <f>VLOOKUP(G1175,Table4[[#All],[Cost Center]:[Client Type]],5,TRUE)</f>
        <v>Osama Mezayn</v>
      </c>
    </row>
    <row r="1176" spans="6:10" x14ac:dyDescent="0.25">
      <c r="F1176" t="s">
        <v>348</v>
      </c>
      <c r="G1176" s="7" cm="1">
        <f t="array" ref="G1176">INT(planned(F1176))</f>
        <v>192</v>
      </c>
      <c r="H1176">
        <f>VLOOKUP(G1176,Table4[[#All],[Cost Center]:[Client Type]],2,TRUE)</f>
        <v>135</v>
      </c>
      <c r="I1176" t="str">
        <f>VLOOKUP(G1176,Table4[[#All],[Cost Center]:[Client Type]],3,TRUE)</f>
        <v>Creeks URBN-K</v>
      </c>
      <c r="J1176" t="str">
        <f>VLOOKUP(G1176,Table4[[#All],[Cost Center]:[Client Type]],5,TRUE)</f>
        <v>Osama Mezayn</v>
      </c>
    </row>
    <row r="1177" spans="6:10" x14ac:dyDescent="0.25">
      <c r="F1177" t="s">
        <v>348</v>
      </c>
      <c r="G1177" s="7" cm="1">
        <f t="array" ref="G1177">INT(planned(F1177))</f>
        <v>192</v>
      </c>
      <c r="H1177">
        <f>VLOOKUP(G1177,Table4[[#All],[Cost Center]:[Client Type]],2,TRUE)</f>
        <v>135</v>
      </c>
      <c r="I1177" t="str">
        <f>VLOOKUP(G1177,Table4[[#All],[Cost Center]:[Client Type]],3,TRUE)</f>
        <v>Creeks URBN-K</v>
      </c>
      <c r="J1177" t="str">
        <f>VLOOKUP(G1177,Table4[[#All],[Cost Center]:[Client Type]],5,TRUE)</f>
        <v>Osama Mezayn</v>
      </c>
    </row>
    <row r="1178" spans="6:10" x14ac:dyDescent="0.25">
      <c r="F1178" t="s">
        <v>348</v>
      </c>
      <c r="G1178" s="7" cm="1">
        <f t="array" ref="G1178">INT(planned(F1178))</f>
        <v>192</v>
      </c>
      <c r="H1178">
        <f>VLOOKUP(G1178,Table4[[#All],[Cost Center]:[Client Type]],2,TRUE)</f>
        <v>135</v>
      </c>
      <c r="I1178" t="str">
        <f>VLOOKUP(G1178,Table4[[#All],[Cost Center]:[Client Type]],3,TRUE)</f>
        <v>Creeks URBN-K</v>
      </c>
      <c r="J1178" t="str">
        <f>VLOOKUP(G1178,Table4[[#All],[Cost Center]:[Client Type]],5,TRUE)</f>
        <v>Osama Mezayn</v>
      </c>
    </row>
    <row r="1179" spans="6:10" x14ac:dyDescent="0.25">
      <c r="F1179" t="s">
        <v>348</v>
      </c>
      <c r="G1179" s="7" cm="1">
        <f t="array" ref="G1179">INT(planned(F1179))</f>
        <v>192</v>
      </c>
      <c r="H1179">
        <f>VLOOKUP(G1179,Table4[[#All],[Cost Center]:[Client Type]],2,TRUE)</f>
        <v>135</v>
      </c>
      <c r="I1179" t="str">
        <f>VLOOKUP(G1179,Table4[[#All],[Cost Center]:[Client Type]],3,TRUE)</f>
        <v>Creeks URBN-K</v>
      </c>
      <c r="J1179" t="str">
        <f>VLOOKUP(G1179,Table4[[#All],[Cost Center]:[Client Type]],5,TRUE)</f>
        <v>Osama Mezayn</v>
      </c>
    </row>
    <row r="1180" spans="6:10" x14ac:dyDescent="0.25">
      <c r="F1180" t="s">
        <v>348</v>
      </c>
      <c r="G1180" s="7" cm="1">
        <f t="array" ref="G1180">INT(planned(F1180))</f>
        <v>192</v>
      </c>
      <c r="H1180">
        <f>VLOOKUP(G1180,Table4[[#All],[Cost Center]:[Client Type]],2,TRUE)</f>
        <v>135</v>
      </c>
      <c r="I1180" t="str">
        <f>VLOOKUP(G1180,Table4[[#All],[Cost Center]:[Client Type]],3,TRUE)</f>
        <v>Creeks URBN-K</v>
      </c>
      <c r="J1180" t="str">
        <f>VLOOKUP(G1180,Table4[[#All],[Cost Center]:[Client Type]],5,TRUE)</f>
        <v>Osama Mezayn</v>
      </c>
    </row>
    <row r="1181" spans="6:10" x14ac:dyDescent="0.25">
      <c r="F1181" t="s">
        <v>348</v>
      </c>
      <c r="G1181" s="7" cm="1">
        <f t="array" ref="G1181">INT(planned(F1181))</f>
        <v>192</v>
      </c>
      <c r="H1181">
        <f>VLOOKUP(G1181,Table4[[#All],[Cost Center]:[Client Type]],2,TRUE)</f>
        <v>135</v>
      </c>
      <c r="I1181" t="str">
        <f>VLOOKUP(G1181,Table4[[#All],[Cost Center]:[Client Type]],3,TRUE)</f>
        <v>Creeks URBN-K</v>
      </c>
      <c r="J1181" t="str">
        <f>VLOOKUP(G1181,Table4[[#All],[Cost Center]:[Client Type]],5,TRUE)</f>
        <v>Osama Mezayn</v>
      </c>
    </row>
    <row r="1182" spans="6:10" x14ac:dyDescent="0.25">
      <c r="F1182" t="s">
        <v>348</v>
      </c>
      <c r="G1182" s="7" cm="1">
        <f t="array" ref="G1182">INT(planned(F1182))</f>
        <v>192</v>
      </c>
      <c r="H1182">
        <f>VLOOKUP(G1182,Table4[[#All],[Cost Center]:[Client Type]],2,TRUE)</f>
        <v>135</v>
      </c>
      <c r="I1182" t="str">
        <f>VLOOKUP(G1182,Table4[[#All],[Cost Center]:[Client Type]],3,TRUE)</f>
        <v>Creeks URBN-K</v>
      </c>
      <c r="J1182" t="str">
        <f>VLOOKUP(G1182,Table4[[#All],[Cost Center]:[Client Type]],5,TRUE)</f>
        <v>Osama Mezayn</v>
      </c>
    </row>
    <row r="1183" spans="6:10" x14ac:dyDescent="0.25">
      <c r="F1183" t="s">
        <v>348</v>
      </c>
      <c r="G1183" s="7" cm="1">
        <f t="array" ref="G1183">INT(planned(F1183))</f>
        <v>192</v>
      </c>
      <c r="H1183">
        <f>VLOOKUP(G1183,Table4[[#All],[Cost Center]:[Client Type]],2,TRUE)</f>
        <v>135</v>
      </c>
      <c r="I1183" t="str">
        <f>VLOOKUP(G1183,Table4[[#All],[Cost Center]:[Client Type]],3,TRUE)</f>
        <v>Creeks URBN-K</v>
      </c>
      <c r="J1183" t="str">
        <f>VLOOKUP(G1183,Table4[[#All],[Cost Center]:[Client Type]],5,TRUE)</f>
        <v>Osama Mezayn</v>
      </c>
    </row>
    <row r="1184" spans="6:10" x14ac:dyDescent="0.25">
      <c r="F1184" t="s">
        <v>348</v>
      </c>
      <c r="G1184" s="7" cm="1">
        <f t="array" ref="G1184">INT(planned(F1184))</f>
        <v>192</v>
      </c>
      <c r="H1184">
        <f>VLOOKUP(G1184,Table4[[#All],[Cost Center]:[Client Type]],2,TRUE)</f>
        <v>135</v>
      </c>
      <c r="I1184" t="str">
        <f>VLOOKUP(G1184,Table4[[#All],[Cost Center]:[Client Type]],3,TRUE)</f>
        <v>Creeks URBN-K</v>
      </c>
      <c r="J1184" t="str">
        <f>VLOOKUP(G1184,Table4[[#All],[Cost Center]:[Client Type]],5,TRUE)</f>
        <v>Osama Mezayn</v>
      </c>
    </row>
    <row r="1185" spans="6:10" x14ac:dyDescent="0.25">
      <c r="F1185" t="s">
        <v>348</v>
      </c>
      <c r="G1185" s="7" cm="1">
        <f t="array" ref="G1185">INT(planned(F1185))</f>
        <v>192</v>
      </c>
      <c r="H1185">
        <f>VLOOKUP(G1185,Table4[[#All],[Cost Center]:[Client Type]],2,TRUE)</f>
        <v>135</v>
      </c>
      <c r="I1185" t="str">
        <f>VLOOKUP(G1185,Table4[[#All],[Cost Center]:[Client Type]],3,TRUE)</f>
        <v>Creeks URBN-K</v>
      </c>
      <c r="J1185" t="str">
        <f>VLOOKUP(G1185,Table4[[#All],[Cost Center]:[Client Type]],5,TRUE)</f>
        <v>Osama Mezayn</v>
      </c>
    </row>
    <row r="1186" spans="6:10" x14ac:dyDescent="0.25">
      <c r="F1186" t="s">
        <v>348</v>
      </c>
      <c r="G1186" s="7" cm="1">
        <f t="array" ref="G1186">INT(planned(F1186))</f>
        <v>192</v>
      </c>
      <c r="H1186">
        <f>VLOOKUP(G1186,Table4[[#All],[Cost Center]:[Client Type]],2,TRUE)</f>
        <v>135</v>
      </c>
      <c r="I1186" t="str">
        <f>VLOOKUP(G1186,Table4[[#All],[Cost Center]:[Client Type]],3,TRUE)</f>
        <v>Creeks URBN-K</v>
      </c>
      <c r="J1186" t="str">
        <f>VLOOKUP(G1186,Table4[[#All],[Cost Center]:[Client Type]],5,TRUE)</f>
        <v>Osama Mezayn</v>
      </c>
    </row>
    <row r="1187" spans="6:10" x14ac:dyDescent="0.25">
      <c r="F1187" t="s">
        <v>348</v>
      </c>
      <c r="G1187" s="7" cm="1">
        <f t="array" ref="G1187">INT(planned(F1187))</f>
        <v>192</v>
      </c>
      <c r="H1187">
        <f>VLOOKUP(G1187,Table4[[#All],[Cost Center]:[Client Type]],2,TRUE)</f>
        <v>135</v>
      </c>
      <c r="I1187" t="str">
        <f>VLOOKUP(G1187,Table4[[#All],[Cost Center]:[Client Type]],3,TRUE)</f>
        <v>Creeks URBN-K</v>
      </c>
      <c r="J1187" t="str">
        <f>VLOOKUP(G1187,Table4[[#All],[Cost Center]:[Client Type]],5,TRUE)</f>
        <v>Osama Mezayn</v>
      </c>
    </row>
  </sheetData>
  <conditionalFormatting sqref="C2:C67">
    <cfRule type="duplicateValues" dxfId="3" priority="1"/>
  </conditionalFormatting>
  <conditionalFormatting sqref="A2:A67">
    <cfRule type="duplicateValues" dxfId="2" priority="2"/>
  </conditionalFormatting>
  <pageMargins left="0.7" right="0.7" top="0.75" bottom="0.75" header="0.3" footer="0.3"/>
  <ignoredErrors>
    <ignoredError sqref="J2" calculatedColumn="1"/>
  </ignoredErrors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1BDB0-C179-4A1D-AE8D-9A5D164FC655}">
  <sheetPr codeName="Sheet3"/>
  <dimension ref="A1:M31"/>
  <sheetViews>
    <sheetView tabSelected="1" topLeftCell="A15" workbookViewId="0">
      <selection activeCell="F29" sqref="F29"/>
    </sheetView>
  </sheetViews>
  <sheetFormatPr defaultRowHeight="15" x14ac:dyDescent="0.25"/>
  <cols>
    <col min="1" max="1" width="20.5703125" customWidth="1"/>
    <col min="2" max="2" width="24.7109375" customWidth="1"/>
    <col min="6" max="6" width="34.85546875" bestFit="1" customWidth="1"/>
    <col min="7" max="7" width="14.42578125" bestFit="1" customWidth="1"/>
    <col min="9" max="9" width="28.7109375" bestFit="1" customWidth="1"/>
    <col min="12" max="12" width="32" bestFit="1" customWidth="1"/>
  </cols>
  <sheetData>
    <row r="1" spans="1:13" x14ac:dyDescent="0.25">
      <c r="A1" s="2" t="s">
        <v>31</v>
      </c>
      <c r="B1" s="2" t="s">
        <v>32</v>
      </c>
    </row>
    <row r="2" spans="1:13" x14ac:dyDescent="0.25">
      <c r="A2" t="s">
        <v>10</v>
      </c>
      <c r="B2" t="str" cm="1">
        <f t="array" ref="B2">categorize(Table2[[#This Row],[Input Here]])</f>
        <v>Operation Cash Out</v>
      </c>
      <c r="F2" t="s">
        <v>321</v>
      </c>
      <c r="G2" s="3" t="str" cm="1">
        <f t="array" ref="G2">cost_center(F2)</f>
        <v>147</v>
      </c>
      <c r="I2" t="s">
        <v>344</v>
      </c>
      <c r="J2" s="3" t="str" cm="1">
        <f t="array" ref="J2">cost_center(I2)</f>
        <v>145</v>
      </c>
      <c r="L2" t="s">
        <v>83</v>
      </c>
      <c r="M2" t="str" cm="1">
        <f t="array" ref="M2">cost_center(L2)</f>
        <v>187</v>
      </c>
    </row>
    <row r="3" spans="1:13" x14ac:dyDescent="0.25">
      <c r="A3" t="s">
        <v>24</v>
      </c>
      <c r="B3" t="str" cm="1">
        <f t="array" ref="B3">categorize(Table2[[#This Row],[Input Here]])</f>
        <v>Operation Cash Out</v>
      </c>
      <c r="F3" t="s">
        <v>322</v>
      </c>
      <c r="G3" s="3" t="str" cm="1">
        <f t="array" ref="G3">cost_center(F3)</f>
        <v>-</v>
      </c>
      <c r="I3" t="s">
        <v>126</v>
      </c>
      <c r="J3" s="3">
        <v>159</v>
      </c>
      <c r="L3" t="s">
        <v>83</v>
      </c>
      <c r="M3" t="str" cm="1">
        <f t="array" ref="M3">cost_center(L3)</f>
        <v>187</v>
      </c>
    </row>
    <row r="4" spans="1:13" x14ac:dyDescent="0.25">
      <c r="A4" t="s">
        <v>24</v>
      </c>
      <c r="B4" t="str" cm="1">
        <f t="array" ref="B4">categorize(Table2[[#This Row],[Input Here]])</f>
        <v>Operation Cash Out</v>
      </c>
      <c r="F4" t="s">
        <v>139</v>
      </c>
      <c r="G4" s="3" t="str" cm="1">
        <f t="array" ref="G4">cost_center(F4)</f>
        <v>69</v>
      </c>
      <c r="I4" t="s">
        <v>345</v>
      </c>
      <c r="J4" s="3">
        <v>193</v>
      </c>
      <c r="L4" t="s">
        <v>321</v>
      </c>
      <c r="M4" t="str" cm="1">
        <f t="array" ref="M4">cost_center(L4)</f>
        <v>147</v>
      </c>
    </row>
    <row r="5" spans="1:13" x14ac:dyDescent="0.25">
      <c r="A5" t="s">
        <v>26</v>
      </c>
      <c r="B5" t="str" cm="1">
        <f t="array" ref="B5">categorize(Table2[[#This Row],[Input Here]])</f>
        <v>Operation Cash Out</v>
      </c>
      <c r="F5" t="s">
        <v>223</v>
      </c>
      <c r="G5" s="3" t="str" cm="1">
        <f t="array" ref="G5">cost_center(F5)</f>
        <v>169</v>
      </c>
      <c r="I5" t="s">
        <v>84</v>
      </c>
      <c r="J5" s="3">
        <v>187</v>
      </c>
      <c r="L5" t="s">
        <v>324</v>
      </c>
      <c r="M5" t="str" cm="1">
        <f t="array" ref="M5">cost_center(L5)</f>
        <v>139</v>
      </c>
    </row>
    <row r="6" spans="1:13" x14ac:dyDescent="0.25">
      <c r="A6" t="s">
        <v>26</v>
      </c>
      <c r="B6" t="str" cm="1">
        <f t="array" ref="B6">categorize(Table2[[#This Row],[Input Here]])</f>
        <v>Operation Cash Out</v>
      </c>
      <c r="F6" t="s">
        <v>323</v>
      </c>
      <c r="G6" s="3" t="str" cm="1">
        <f t="array" ref="G6">cost_center(F6)</f>
        <v>170</v>
      </c>
      <c r="I6" t="s">
        <v>346</v>
      </c>
      <c r="J6" s="3">
        <v>69</v>
      </c>
      <c r="L6" t="s">
        <v>358</v>
      </c>
      <c r="M6" t="str" cm="1">
        <f t="array" ref="M6">cost_center(L6)</f>
        <v>153</v>
      </c>
    </row>
    <row r="7" spans="1:13" x14ac:dyDescent="0.25">
      <c r="A7" t="s">
        <v>26</v>
      </c>
      <c r="B7" t="str" cm="1">
        <f t="array" ref="B7">categorize(Table2[[#This Row],[Input Here]])</f>
        <v>Operation Cash Out</v>
      </c>
      <c r="F7" t="s">
        <v>324</v>
      </c>
      <c r="G7" s="3" t="str" cm="1">
        <f t="array" ref="G7">cost_center(F7)</f>
        <v>139</v>
      </c>
      <c r="I7" t="s">
        <v>347</v>
      </c>
      <c r="J7" s="3" t="str" cm="1">
        <f t="array" ref="J7">cost_center(I7)</f>
        <v>183</v>
      </c>
      <c r="L7" t="s">
        <v>334</v>
      </c>
      <c r="M7" t="str" cm="1">
        <f t="array" ref="M7">cost_center(L7)</f>
        <v>138</v>
      </c>
    </row>
    <row r="8" spans="1:13" x14ac:dyDescent="0.25">
      <c r="A8" t="s">
        <v>26</v>
      </c>
      <c r="B8" t="str" cm="1">
        <f t="array" ref="B8">categorize(Table2[[#This Row],[Input Here]])</f>
        <v>Operation Cash Out</v>
      </c>
      <c r="F8" t="s">
        <v>116</v>
      </c>
      <c r="G8" s="3" t="str" cm="1">
        <f t="array" ref="G8">cost_center(F8)</f>
        <v>175</v>
      </c>
      <c r="I8" t="s">
        <v>102</v>
      </c>
      <c r="J8" s="3">
        <v>147</v>
      </c>
      <c r="L8" t="s">
        <v>334</v>
      </c>
      <c r="M8" t="str" cm="1">
        <f t="array" ref="M8">cost_center(L8)</f>
        <v>138</v>
      </c>
    </row>
    <row r="9" spans="1:13" x14ac:dyDescent="0.25">
      <c r="A9" t="s">
        <v>26</v>
      </c>
      <c r="B9" t="str" cm="1">
        <f t="array" ref="B9">categorize(Table2[[#This Row],[Input Here]])</f>
        <v>Operation Cash Out</v>
      </c>
      <c r="F9" t="s">
        <v>125</v>
      </c>
      <c r="G9" s="3" t="str" cm="1">
        <f t="array" ref="G9">cost_center(F9)</f>
        <v>159</v>
      </c>
      <c r="I9" t="s">
        <v>164</v>
      </c>
      <c r="J9" s="3" t="str" cm="1">
        <f t="array" ref="J9">cost_center(I9)</f>
        <v>140</v>
      </c>
      <c r="L9" t="s">
        <v>326</v>
      </c>
      <c r="M9" t="str" cm="1">
        <f t="array" ref="M9">cost_center(L9)</f>
        <v>144</v>
      </c>
    </row>
    <row r="10" spans="1:13" x14ac:dyDescent="0.25">
      <c r="A10" t="s">
        <v>26</v>
      </c>
      <c r="B10" t="str" cm="1">
        <f t="array" ref="B10">categorize(Table2[[#This Row],[Input Here]])</f>
        <v>Operation Cash Out</v>
      </c>
      <c r="F10" t="s">
        <v>215</v>
      </c>
      <c r="G10" s="3" t="str" cm="1">
        <f t="array" ref="G10">cost_center(F10)</f>
        <v>158</v>
      </c>
      <c r="I10" t="s">
        <v>178</v>
      </c>
      <c r="J10" s="3" t="str" cm="1">
        <f t="array" ref="J10">cost_center(I10)</f>
        <v>133</v>
      </c>
      <c r="L10" t="s">
        <v>326</v>
      </c>
      <c r="M10" t="str" cm="1">
        <f t="array" ref="M10">cost_center(L10)</f>
        <v>144</v>
      </c>
    </row>
    <row r="11" spans="1:13" x14ac:dyDescent="0.25">
      <c r="A11" t="s">
        <v>26</v>
      </c>
      <c r="B11" t="str" cm="1">
        <f t="array" ref="B11">categorize(Table2[[#This Row],[Input Here]])</f>
        <v>Operation Cash Out</v>
      </c>
      <c r="F11" t="s">
        <v>325</v>
      </c>
      <c r="G11" s="3">
        <v>173</v>
      </c>
      <c r="I11" t="s">
        <v>173</v>
      </c>
      <c r="J11" s="3">
        <v>139</v>
      </c>
      <c r="L11" t="s">
        <v>284</v>
      </c>
      <c r="M11" t="str" cm="1">
        <f t="array" ref="M11">cost_center(L11)</f>
        <v>195</v>
      </c>
    </row>
    <row r="12" spans="1:13" x14ac:dyDescent="0.25">
      <c r="A12" t="s">
        <v>26</v>
      </c>
      <c r="B12" t="str" cm="1">
        <f t="array" ref="B12">categorize(Table2[[#This Row],[Input Here]])</f>
        <v>Operation Cash Out</v>
      </c>
      <c r="F12" t="s">
        <v>326</v>
      </c>
      <c r="G12" s="3" t="str" cm="1">
        <f t="array" ref="G12">cost_center(F12)</f>
        <v>144</v>
      </c>
      <c r="I12" t="s">
        <v>116</v>
      </c>
      <c r="J12" s="3" t="str" cm="1">
        <f t="array" ref="J12">cost_center(I12)</f>
        <v>175</v>
      </c>
      <c r="L12" t="s">
        <v>284</v>
      </c>
      <c r="M12" t="str" cm="1">
        <f t="array" ref="M12">cost_center(L12)</f>
        <v>195</v>
      </c>
    </row>
    <row r="13" spans="1:13" x14ac:dyDescent="0.25">
      <c r="A13" t="s">
        <v>26</v>
      </c>
      <c r="B13" t="str" cm="1">
        <f t="array" ref="B13">categorize(Table2[[#This Row],[Input Here]])</f>
        <v>Operation Cash Out</v>
      </c>
      <c r="F13" t="s">
        <v>327</v>
      </c>
      <c r="G13" s="3" t="str" cm="1">
        <f t="array" ref="G13">cost_center(F13)</f>
        <v>83</v>
      </c>
      <c r="I13" t="s">
        <v>196</v>
      </c>
      <c r="J13" s="3">
        <v>88</v>
      </c>
      <c r="L13" t="s">
        <v>337</v>
      </c>
      <c r="M13" t="str" cm="1">
        <f t="array" ref="M13">cost_center(L13)</f>
        <v>130</v>
      </c>
    </row>
    <row r="14" spans="1:13" x14ac:dyDescent="0.25">
      <c r="A14" t="s">
        <v>26</v>
      </c>
      <c r="B14" t="str" cm="1">
        <f t="array" ref="B14">categorize(Table2[[#This Row],[Input Here]])</f>
        <v>Operation Cash Out</v>
      </c>
      <c r="F14" t="s">
        <v>88</v>
      </c>
      <c r="G14" s="3" t="str" cm="1">
        <f t="array" ref="G14">cost_center(F14)</f>
        <v>141</v>
      </c>
      <c r="I14" t="s">
        <v>284</v>
      </c>
      <c r="J14" s="3" t="str" cm="1">
        <f t="array" ref="J14">cost_center(I14)</f>
        <v>195</v>
      </c>
      <c r="L14" t="s">
        <v>113</v>
      </c>
      <c r="M14" t="str" cm="1">
        <f t="array" ref="M14">cost_center(L14)</f>
        <v>151</v>
      </c>
    </row>
    <row r="15" spans="1:13" x14ac:dyDescent="0.25">
      <c r="A15" t="s">
        <v>26</v>
      </c>
      <c r="B15" t="str" cm="1">
        <f t="array" ref="B15">categorize(Table2[[#This Row],[Input Here]])</f>
        <v>Operation Cash Out</v>
      </c>
      <c r="F15" t="s">
        <v>328</v>
      </c>
      <c r="G15" s="3" t="str" cm="1">
        <f t="array" ref="G15">cost_center(F15)</f>
        <v>137</v>
      </c>
      <c r="I15" t="s">
        <v>97</v>
      </c>
      <c r="J15" s="3">
        <v>138</v>
      </c>
      <c r="L15" t="s">
        <v>113</v>
      </c>
      <c r="M15" t="str" cm="1">
        <f t="array" ref="M15">cost_center(L15)</f>
        <v>151</v>
      </c>
    </row>
    <row r="16" spans="1:13" x14ac:dyDescent="0.25">
      <c r="A16" t="s">
        <v>26</v>
      </c>
      <c r="B16" t="str" cm="1">
        <f t="array" ref="B16">categorize(Table2[[#This Row],[Input Here]])</f>
        <v>Operation Cash Out</v>
      </c>
      <c r="F16" t="s">
        <v>113</v>
      </c>
      <c r="G16" s="3" t="str" cm="1">
        <f t="array" ref="G16">cost_center(F16)</f>
        <v>151</v>
      </c>
      <c r="I16" t="s">
        <v>348</v>
      </c>
      <c r="J16" s="3">
        <v>192</v>
      </c>
      <c r="L16" t="s">
        <v>328</v>
      </c>
      <c r="M16" t="str" cm="1">
        <f t="array" ref="M16">cost_center(L16)</f>
        <v>137</v>
      </c>
    </row>
    <row r="17" spans="1:13" x14ac:dyDescent="0.25">
      <c r="A17" t="s">
        <v>26</v>
      </c>
      <c r="B17" t="str" cm="1">
        <f t="array" ref="B17">categorize(Table2[[#This Row],[Input Here]])</f>
        <v>Operation Cash Out</v>
      </c>
      <c r="F17" t="s">
        <v>130</v>
      </c>
      <c r="G17" s="3" t="str" cm="1">
        <f t="array" ref="G17">cost_center(F17)</f>
        <v>176</v>
      </c>
      <c r="I17" t="s">
        <v>111</v>
      </c>
      <c r="J17" s="3">
        <v>137</v>
      </c>
      <c r="L17" t="s">
        <v>332</v>
      </c>
      <c r="M17" t="str" cm="1">
        <f t="array" ref="M17">cost_center(L17)</f>
        <v>99</v>
      </c>
    </row>
    <row r="18" spans="1:13" x14ac:dyDescent="0.25">
      <c r="A18" t="s">
        <v>26</v>
      </c>
      <c r="B18" t="str" cm="1">
        <f t="array" ref="B18">categorize(Table2[[#This Row],[Input Here]])</f>
        <v>Operation Cash Out</v>
      </c>
      <c r="F18" t="s">
        <v>329</v>
      </c>
      <c r="G18" s="3" t="str" cm="1">
        <f t="array" ref="G18">cost_center(F18)</f>
        <v>145</v>
      </c>
      <c r="I18" t="s">
        <v>114</v>
      </c>
      <c r="J18" s="3">
        <v>151</v>
      </c>
      <c r="L18" t="s">
        <v>94</v>
      </c>
      <c r="M18" t="str" cm="1">
        <f t="array" ref="M18">cost_center(L18)</f>
        <v>179</v>
      </c>
    </row>
    <row r="19" spans="1:13" x14ac:dyDescent="0.25">
      <c r="A19" t="s">
        <v>10</v>
      </c>
      <c r="B19" t="str" cm="1">
        <f t="array" ref="B19">categorize(Table2[[#This Row],[Input Here]])</f>
        <v>Operation Cash Out</v>
      </c>
      <c r="F19" t="s">
        <v>330</v>
      </c>
      <c r="G19" s="3" t="str" cm="1">
        <f t="array" ref="G19">cost_center(F19)</f>
        <v>134</v>
      </c>
      <c r="I19" t="s">
        <v>349</v>
      </c>
      <c r="J19" s="3" t="str" cm="1">
        <f t="array" ref="J19">cost_center(I19)</f>
        <v>127</v>
      </c>
      <c r="L19" t="s">
        <v>332</v>
      </c>
      <c r="M19" t="str" cm="1">
        <f t="array" ref="M19">cost_center(L19)</f>
        <v>99</v>
      </c>
    </row>
    <row r="20" spans="1:13" x14ac:dyDescent="0.25">
      <c r="A20" t="s">
        <v>10</v>
      </c>
      <c r="B20" t="str" cm="1">
        <f t="array" ref="B20">categorize(Table2[[#This Row],[Input Here]])</f>
        <v>Operation Cash Out</v>
      </c>
      <c r="F20" t="s">
        <v>331</v>
      </c>
      <c r="G20" s="3">
        <v>88</v>
      </c>
      <c r="I20" t="s">
        <v>108</v>
      </c>
      <c r="J20" s="3">
        <v>126</v>
      </c>
      <c r="L20" t="s">
        <v>212</v>
      </c>
      <c r="M20" t="str" cm="1">
        <f t="array" ref="M20">cost_center(L20)</f>
        <v>166</v>
      </c>
    </row>
    <row r="21" spans="1:13" x14ac:dyDescent="0.25">
      <c r="A21" t="s">
        <v>10</v>
      </c>
      <c r="B21" t="str" cm="1">
        <f t="array" ref="B21">categorize(Table2[[#This Row],[Input Here]])</f>
        <v>Operation Cash Out</v>
      </c>
      <c r="F21" t="s">
        <v>332</v>
      </c>
      <c r="G21" s="3" t="str" cm="1">
        <f t="array" ref="G21">cost_center(F21)</f>
        <v>99</v>
      </c>
      <c r="I21" t="s">
        <v>350</v>
      </c>
      <c r="J21" s="3">
        <v>170</v>
      </c>
      <c r="L21" t="s">
        <v>359</v>
      </c>
      <c r="M21" t="s">
        <v>361</v>
      </c>
    </row>
    <row r="22" spans="1:13" x14ac:dyDescent="0.25">
      <c r="A22" t="s">
        <v>10</v>
      </c>
      <c r="B22" t="str" cm="1">
        <f t="array" ref="B22">categorize(Table2[[#This Row],[Input Here]])</f>
        <v>Operation Cash Out</v>
      </c>
      <c r="F22" t="s">
        <v>333</v>
      </c>
      <c r="G22" s="3">
        <v>446</v>
      </c>
      <c r="I22" t="s">
        <v>351</v>
      </c>
      <c r="J22" s="3">
        <v>60</v>
      </c>
      <c r="L22" t="s">
        <v>337</v>
      </c>
      <c r="M22" t="str" cm="1">
        <f t="array" ref="M22">cost_center(L22)</f>
        <v>130</v>
      </c>
    </row>
    <row r="23" spans="1:13" x14ac:dyDescent="0.25">
      <c r="A23" t="s">
        <v>26</v>
      </c>
      <c r="B23" t="str" cm="1">
        <f t="array" ref="B23">categorize(Table2[[#This Row],[Input Here]])</f>
        <v>Operation Cash Out</v>
      </c>
      <c r="F23" t="s">
        <v>151</v>
      </c>
      <c r="G23" s="3" t="str" cm="1">
        <f t="array" ref="G23">cost_center(F23)</f>
        <v>150</v>
      </c>
      <c r="I23" t="s">
        <v>352</v>
      </c>
      <c r="J23" s="3">
        <v>158</v>
      </c>
      <c r="L23" t="s">
        <v>321</v>
      </c>
      <c r="M23" t="str" cm="1">
        <f t="array" ref="M23">cost_center(L23)</f>
        <v>147</v>
      </c>
    </row>
    <row r="24" spans="1:13" x14ac:dyDescent="0.25">
      <c r="A24" t="s">
        <v>24</v>
      </c>
      <c r="B24" t="str" cm="1">
        <f t="array" ref="B24">categorize(Table2[[#This Row],[Input Here]])</f>
        <v>Operation Cash Out</v>
      </c>
    </row>
    <row r="25" spans="1:13" x14ac:dyDescent="0.25">
      <c r="A25" t="s">
        <v>18</v>
      </c>
      <c r="B25" t="str" cm="1">
        <f t="array" ref="B25">categorize(Table2[[#This Row],[Input Here]])</f>
        <v>Operation Cash Out</v>
      </c>
    </row>
    <row r="26" spans="1:13" x14ac:dyDescent="0.25">
      <c r="A26" t="s">
        <v>17</v>
      </c>
      <c r="B26" t="str" cm="1">
        <f t="array" ref="B26">categorize(Table2[[#This Row],[Input Here]])</f>
        <v>Operation Cash Out</v>
      </c>
    </row>
    <row r="27" spans="1:13" x14ac:dyDescent="0.25">
      <c r="A27" t="s">
        <v>17</v>
      </c>
      <c r="B27" t="str" cm="1">
        <f t="array" ref="B27">categorize(Table2[[#This Row],[Input Here]])</f>
        <v>Operation Cash Out</v>
      </c>
    </row>
    <row r="28" spans="1:13" x14ac:dyDescent="0.25">
      <c r="A28" t="s">
        <v>18</v>
      </c>
      <c r="B28" t="str" cm="1">
        <f t="array" ref="B28">categorize(Table2[[#This Row],[Input Here]])</f>
        <v>Operation Cash Out</v>
      </c>
    </row>
    <row r="29" spans="1:13" x14ac:dyDescent="0.25">
      <c r="A29" t="s">
        <v>10</v>
      </c>
      <c r="B29" t="str" cm="1">
        <f t="array" ref="B29">categorize(Table2[[#This Row],[Input Here]])</f>
        <v>Operation Cash Out</v>
      </c>
    </row>
    <row r="30" spans="1:13" x14ac:dyDescent="0.25">
      <c r="A30" t="s">
        <v>10</v>
      </c>
      <c r="B30" t="str" cm="1">
        <f t="array" ref="B30">categorize(Table2[[#This Row],[Input Here]])</f>
        <v>Operation Cash Out</v>
      </c>
    </row>
    <row r="31" spans="1:13" x14ac:dyDescent="0.25">
      <c r="A31" t="s">
        <v>10</v>
      </c>
      <c r="B31" t="str" cm="1">
        <f t="array" ref="B31">categorize(Table2[[#This Row],[Input Here]])</f>
        <v>Operation Cash Out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B2CAD-C4F0-44DC-AE80-098230F48D48}">
  <sheetPr codeName="Sheet5"/>
  <dimension ref="A1:I98"/>
  <sheetViews>
    <sheetView topLeftCell="B1" workbookViewId="0">
      <selection activeCell="G16" sqref="G16"/>
    </sheetView>
  </sheetViews>
  <sheetFormatPr defaultRowHeight="15" x14ac:dyDescent="0.25"/>
  <cols>
    <col min="1" max="1" width="38.28515625" bestFit="1" customWidth="1"/>
    <col min="2" max="2" width="34.85546875" bestFit="1" customWidth="1"/>
    <col min="6" max="6" width="36.5703125" customWidth="1"/>
    <col min="7" max="7" width="31.28515625" bestFit="1" customWidth="1"/>
    <col min="8" max="8" width="19.85546875" customWidth="1"/>
    <col min="9" max="9" width="26.85546875" bestFit="1" customWidth="1"/>
  </cols>
  <sheetData>
    <row r="1" spans="1:9" x14ac:dyDescent="0.25">
      <c r="A1" s="4" t="s">
        <v>362</v>
      </c>
      <c r="B1" s="4" t="s">
        <v>363</v>
      </c>
      <c r="F1" t="s">
        <v>589</v>
      </c>
      <c r="G1" t="s">
        <v>590</v>
      </c>
      <c r="H1" t="s">
        <v>591</v>
      </c>
      <c r="I1" t="s">
        <v>592</v>
      </c>
    </row>
    <row r="2" spans="1:9" x14ac:dyDescent="0.25">
      <c r="A2" s="3" t="s">
        <v>393</v>
      </c>
      <c r="B2" s="3" t="s">
        <v>64</v>
      </c>
      <c r="F2" s="3" t="s">
        <v>586</v>
      </c>
      <c r="G2" s="3" t="str" cm="1">
        <f t="array" ref="G2">collection(F2)</f>
        <v>Re-newal Cairo -Alex Rail way</v>
      </c>
      <c r="H2" s="3" t="str">
        <f>INDEX(Table4[],MATCH('For Collection'!G2,Table4[Project Name Control],0),7)</f>
        <v>Aly Tawfik</v>
      </c>
      <c r="I2" s="3">
        <f>INDEX(Table4[],MATCH('For Collection'!G2,Table4[Project Name Control],0),3)</f>
        <v>134</v>
      </c>
    </row>
    <row r="3" spans="1:9" x14ac:dyDescent="0.25">
      <c r="A3" s="3" t="s">
        <v>419</v>
      </c>
      <c r="B3" s="3" t="s">
        <v>233</v>
      </c>
      <c r="F3" s="3" t="s">
        <v>441</v>
      </c>
      <c r="G3" s="3" t="str" cm="1">
        <f t="array" ref="G3">collection(F3)</f>
        <v>Waldorf Astoria Cairo</v>
      </c>
      <c r="H3" s="3" t="str">
        <f>INDEX(Table4[],MATCH('For Collection'!G3,Table4[Project Name Control],0),7)</f>
        <v>Hotels</v>
      </c>
      <c r="I3" s="3">
        <f>INDEX(Table4[],MATCH('For Collection'!G3,Table4[Project Name Control],0),3)</f>
        <v>164</v>
      </c>
    </row>
    <row r="4" spans="1:9" x14ac:dyDescent="0.25">
      <c r="A4" s="3" t="s">
        <v>453</v>
      </c>
      <c r="B4" s="3" t="s">
        <v>195</v>
      </c>
      <c r="F4" s="3" t="s">
        <v>399</v>
      </c>
      <c r="G4" s="3" t="str" cm="1">
        <f t="array" ref="G4">collection(F4)</f>
        <v>EPICO 3 Facility</v>
      </c>
      <c r="H4" s="3" t="str">
        <f>INDEX(Table4[],MATCH('For Collection'!G4,Table4[Project Name Control],0),7)</f>
        <v>Mohamed El Saman</v>
      </c>
      <c r="I4" s="3">
        <f>INDEX(Table4[],MATCH('For Collection'!G4,Table4[Project Name Control],0),3)</f>
        <v>187</v>
      </c>
    </row>
    <row r="5" spans="1:9" x14ac:dyDescent="0.25">
      <c r="A5" s="3" t="s">
        <v>410</v>
      </c>
      <c r="B5" s="3" t="s">
        <v>177</v>
      </c>
      <c r="F5" s="3" t="s">
        <v>407</v>
      </c>
      <c r="G5" s="3" t="str" cm="1">
        <f t="array" ref="G5">collection(F5)</f>
        <v xml:space="preserve">Port of Sokhna </v>
      </c>
      <c r="H5" s="3" t="str">
        <f>INDEX(Table4[],MATCH('For Collection'!G5,Table4[Project Name Control],0),7)</f>
        <v>Mohamed El Saman</v>
      </c>
      <c r="I5" s="3">
        <f>INDEX(Table4[],MATCH('For Collection'!G5,Table4[Project Name Control],0),3)</f>
        <v>145</v>
      </c>
    </row>
    <row r="6" spans="1:9" x14ac:dyDescent="0.25">
      <c r="A6" s="3" t="s">
        <v>421</v>
      </c>
      <c r="B6" s="3" t="s">
        <v>130</v>
      </c>
      <c r="F6" s="3" t="s">
        <v>366</v>
      </c>
      <c r="G6" s="3" t="str" cm="1">
        <f t="array" ref="G6">collection(F6)</f>
        <v>Mivida BP#189</v>
      </c>
      <c r="H6" s="3" t="str">
        <f>INDEX(Table4[],MATCH('For Collection'!G6,Table4[Project Name Control],0),7)</f>
        <v>Osama Mezayn</v>
      </c>
      <c r="I6" s="3">
        <f>INDEX(Table4[],MATCH('For Collection'!G6,Table4[Project Name Control],0),3)</f>
        <v>170</v>
      </c>
    </row>
    <row r="7" spans="1:9" x14ac:dyDescent="0.25">
      <c r="A7" s="3" t="s">
        <v>364</v>
      </c>
      <c r="B7" s="3" t="s">
        <v>102</v>
      </c>
      <c r="F7" s="3" t="s">
        <v>398</v>
      </c>
      <c r="G7" s="3" t="str" cm="1">
        <f t="array" ref="G7">collection(F7)</f>
        <v>Port Said Port Silos</v>
      </c>
      <c r="H7" s="3" t="str">
        <f>INDEX(Table4[],MATCH('For Collection'!G7,Table4[Project Name Control],0),7)</f>
        <v>Mohamed El Saman</v>
      </c>
      <c r="I7" s="3">
        <f>INDEX(Table4[],MATCH('For Collection'!G7,Table4[Project Name Control],0),3)</f>
        <v>159</v>
      </c>
    </row>
    <row r="8" spans="1:9" x14ac:dyDescent="0.25">
      <c r="A8" s="3" t="s">
        <v>398</v>
      </c>
      <c r="B8" s="3" t="s">
        <v>125</v>
      </c>
      <c r="F8" s="3" t="s">
        <v>413</v>
      </c>
      <c r="G8" s="3" t="str" cm="1">
        <f t="array" ref="G8">collection(F8)</f>
        <v>Rolling Mill Eleco Steel Egat Ph02</v>
      </c>
      <c r="H8" s="3" t="str">
        <f>INDEX(Table4[],MATCH('For Collection'!G8,Table4[Project Name Control],0),7)</f>
        <v>Mohamed El Saman</v>
      </c>
      <c r="I8" s="3">
        <f>INDEX(Table4[],MATCH('For Collection'!G8,Table4[Project Name Control],0),3)</f>
        <v>144</v>
      </c>
    </row>
    <row r="9" spans="1:9" x14ac:dyDescent="0.25">
      <c r="A9" s="3" t="s">
        <v>441</v>
      </c>
      <c r="B9" s="3" t="s">
        <v>143</v>
      </c>
      <c r="F9" s="3" t="s">
        <v>421</v>
      </c>
      <c r="G9" s="3" t="str" cm="1">
        <f t="array" ref="G9">collection(F9)</f>
        <v>Radamis City</v>
      </c>
      <c r="H9" s="3" t="str">
        <f>INDEX(Table4[],MATCH('For Collection'!G9,Table4[Project Name Control],0),7)</f>
        <v>Mohamed Fawzy</v>
      </c>
      <c r="I9" s="3">
        <f>INDEX(Table4[],MATCH('For Collection'!G9,Table4[Project Name Control],0),3)</f>
        <v>176</v>
      </c>
    </row>
    <row r="10" spans="1:9" x14ac:dyDescent="0.25">
      <c r="A10" s="3" t="s">
        <v>386</v>
      </c>
      <c r="B10" s="3" t="s">
        <v>151</v>
      </c>
      <c r="F10" s="3" t="s">
        <v>414</v>
      </c>
      <c r="G10" s="3" t="str" cm="1">
        <f t="array" ref="G10">collection(F10)</f>
        <v>DP World Basin 2 Ph2</v>
      </c>
      <c r="H10" s="3" t="str">
        <f>INDEX(Table4[],MATCH('For Collection'!G10,Table4[Project Name Control],0),7)</f>
        <v>Mohamed El Saman</v>
      </c>
      <c r="I10" s="3">
        <f>INDEX(Table4[],MATCH('For Collection'!G10,Table4[Project Name Control],0),3)</f>
        <v>193</v>
      </c>
    </row>
    <row r="11" spans="1:9" x14ac:dyDescent="0.25">
      <c r="A11" s="3" t="s">
        <v>405</v>
      </c>
      <c r="B11" s="3" t="s">
        <v>286</v>
      </c>
      <c r="F11" s="3" t="s">
        <v>364</v>
      </c>
      <c r="G11" s="3" t="str" cm="1">
        <f t="array" ref="G11">collection(F11)</f>
        <v>MDF</v>
      </c>
      <c r="H11" s="3" t="str">
        <f>INDEX(Table4[],MATCH('For Collection'!G11,Table4[Project Name Control],0),7)</f>
        <v>Mohamed El Saman</v>
      </c>
      <c r="I11" s="3">
        <f>INDEX(Table4[],MATCH('For Collection'!G11,Table4[Project Name Control],0),3)</f>
        <v>147</v>
      </c>
    </row>
    <row r="12" spans="1:9" x14ac:dyDescent="0.25">
      <c r="A12" s="3" t="s">
        <v>391</v>
      </c>
      <c r="B12" s="3" t="s">
        <v>110</v>
      </c>
      <c r="F12" s="3" t="s">
        <v>364</v>
      </c>
      <c r="G12" s="3" t="str" cm="1">
        <f t="array" ref="G12">collection(F12)</f>
        <v>MDF</v>
      </c>
      <c r="H12" s="3" t="str">
        <f>INDEX(Table4[],MATCH('For Collection'!G12,Table4[Project Name Control],0),7)</f>
        <v>Mohamed El Saman</v>
      </c>
      <c r="I12" s="3">
        <f>INDEX(Table4[],MATCH('For Collection'!G12,Table4[Project Name Control],0),3)</f>
        <v>147</v>
      </c>
    </row>
    <row r="13" spans="1:9" x14ac:dyDescent="0.25">
      <c r="A13" s="3" t="s">
        <v>365</v>
      </c>
      <c r="B13" s="3" t="s">
        <v>223</v>
      </c>
      <c r="F13" s="3" t="s">
        <v>364</v>
      </c>
      <c r="G13" s="3" t="str" cm="1">
        <f t="array" ref="G13">collection(F13)</f>
        <v>MDF</v>
      </c>
      <c r="H13" s="3" t="str">
        <f>INDEX(Table4[],MATCH('For Collection'!G13,Table4[Project Name Control],0),7)</f>
        <v>Mohamed El Saman</v>
      </c>
      <c r="I13" s="3">
        <f>INDEX(Table4[],MATCH('For Collection'!G13,Table4[Project Name Control],0),3)</f>
        <v>147</v>
      </c>
    </row>
    <row r="14" spans="1:9" x14ac:dyDescent="0.25">
      <c r="A14" s="3" t="s">
        <v>366</v>
      </c>
      <c r="B14" s="3" t="s">
        <v>104</v>
      </c>
      <c r="F14" s="3"/>
      <c r="G14" s="3"/>
      <c r="H14" s="3"/>
      <c r="I14" s="3"/>
    </row>
    <row r="15" spans="1:9" x14ac:dyDescent="0.25">
      <c r="A15" s="3" t="s">
        <v>367</v>
      </c>
      <c r="B15" s="3" t="s">
        <v>324</v>
      </c>
      <c r="F15" s="3"/>
      <c r="G15" s="3"/>
      <c r="H15" s="3"/>
      <c r="I15" s="3"/>
    </row>
    <row r="16" spans="1:9" x14ac:dyDescent="0.25">
      <c r="A16" s="3" t="s">
        <v>368</v>
      </c>
      <c r="B16" s="3" t="s">
        <v>116</v>
      </c>
      <c r="F16" s="3"/>
      <c r="G16" s="3"/>
      <c r="H16" s="3"/>
      <c r="I16" s="3"/>
    </row>
    <row r="17" spans="1:9" x14ac:dyDescent="0.25">
      <c r="A17" s="3" t="s">
        <v>126</v>
      </c>
      <c r="B17" s="3" t="s">
        <v>125</v>
      </c>
      <c r="F17" s="3"/>
      <c r="G17" s="3"/>
      <c r="H17" s="3"/>
      <c r="I17" s="3"/>
    </row>
    <row r="18" spans="1:9" x14ac:dyDescent="0.25">
      <c r="A18" s="3" t="s">
        <v>369</v>
      </c>
      <c r="B18" s="3" t="s">
        <v>215</v>
      </c>
      <c r="F18" s="3"/>
      <c r="G18" s="3"/>
      <c r="H18" s="3"/>
      <c r="I18" s="3"/>
    </row>
    <row r="19" spans="1:9" x14ac:dyDescent="0.25">
      <c r="A19" s="3" t="s">
        <v>370</v>
      </c>
      <c r="B19" s="3" t="s">
        <v>325</v>
      </c>
      <c r="F19" s="3"/>
      <c r="G19" s="3"/>
      <c r="H19" s="3"/>
      <c r="I19" s="3"/>
    </row>
    <row r="20" spans="1:9" x14ac:dyDescent="0.25">
      <c r="A20" s="3" t="s">
        <v>371</v>
      </c>
      <c r="B20" s="3" t="s">
        <v>75</v>
      </c>
      <c r="F20" s="3"/>
      <c r="G20" s="3"/>
      <c r="H20" s="3"/>
      <c r="I20" s="3"/>
    </row>
    <row r="21" spans="1:9" x14ac:dyDescent="0.25">
      <c r="A21" s="3" t="s">
        <v>372</v>
      </c>
      <c r="B21" s="3" t="s">
        <v>327</v>
      </c>
      <c r="F21" s="3"/>
      <c r="G21" s="3"/>
      <c r="H21" s="3"/>
      <c r="I21" s="3"/>
    </row>
    <row r="22" spans="1:9" x14ac:dyDescent="0.25">
      <c r="A22" s="3" t="s">
        <v>373</v>
      </c>
      <c r="B22" s="3" t="s">
        <v>88</v>
      </c>
      <c r="F22" s="3"/>
      <c r="G22" s="3"/>
      <c r="H22" s="3"/>
      <c r="I22" s="3"/>
    </row>
    <row r="23" spans="1:9" x14ac:dyDescent="0.25">
      <c r="A23" s="3" t="s">
        <v>374</v>
      </c>
      <c r="B23" s="3" t="s">
        <v>110</v>
      </c>
      <c r="F23" s="3"/>
      <c r="G23" s="3"/>
      <c r="H23" s="3"/>
      <c r="I23" s="3"/>
    </row>
    <row r="24" spans="1:9" x14ac:dyDescent="0.25">
      <c r="A24" s="3" t="s">
        <v>375</v>
      </c>
      <c r="B24" s="3" t="s">
        <v>113</v>
      </c>
      <c r="F24" s="3"/>
      <c r="G24" s="3"/>
      <c r="H24" s="3"/>
      <c r="I24" s="3"/>
    </row>
    <row r="25" spans="1:9" x14ac:dyDescent="0.25">
      <c r="A25" s="3" t="s">
        <v>376</v>
      </c>
      <c r="B25" s="3" t="s">
        <v>125</v>
      </c>
      <c r="F25" s="3"/>
      <c r="G25" s="3"/>
      <c r="H25" s="3"/>
      <c r="I25" s="3"/>
    </row>
    <row r="26" spans="1:9" x14ac:dyDescent="0.25">
      <c r="A26" s="3" t="s">
        <v>377</v>
      </c>
      <c r="B26" s="3" t="s">
        <v>130</v>
      </c>
      <c r="F26" s="3"/>
      <c r="G26" s="3"/>
      <c r="H26" s="3"/>
      <c r="I26" s="3"/>
    </row>
    <row r="27" spans="1:9" x14ac:dyDescent="0.25">
      <c r="A27" s="3" t="s">
        <v>378</v>
      </c>
      <c r="B27" s="3" t="s">
        <v>139</v>
      </c>
      <c r="F27" s="3"/>
      <c r="G27" s="3"/>
      <c r="H27" s="3"/>
      <c r="I27" s="3"/>
    </row>
    <row r="28" spans="1:9" x14ac:dyDescent="0.25">
      <c r="A28" s="3" t="s">
        <v>379</v>
      </c>
      <c r="B28" s="3" t="s">
        <v>329</v>
      </c>
      <c r="G28" s="3"/>
      <c r="H28" s="3"/>
      <c r="I28" s="3"/>
    </row>
    <row r="29" spans="1:9" x14ac:dyDescent="0.25">
      <c r="A29" s="3" t="s">
        <v>380</v>
      </c>
      <c r="B29" s="3" t="s">
        <v>330</v>
      </c>
      <c r="G29" s="3"/>
      <c r="H29" s="3"/>
      <c r="I29" s="3"/>
    </row>
    <row r="30" spans="1:9" x14ac:dyDescent="0.25">
      <c r="A30" s="3" t="s">
        <v>381</v>
      </c>
      <c r="B30" s="3" t="s">
        <v>324</v>
      </c>
      <c r="G30" s="3"/>
      <c r="H30" s="3"/>
      <c r="I30" s="3"/>
    </row>
    <row r="31" spans="1:9" x14ac:dyDescent="0.25">
      <c r="A31" s="3" t="s">
        <v>382</v>
      </c>
      <c r="B31" s="3" t="s">
        <v>322</v>
      </c>
      <c r="G31" s="3"/>
      <c r="H31" s="3"/>
      <c r="I31" s="3"/>
    </row>
    <row r="32" spans="1:9" x14ac:dyDescent="0.25">
      <c r="A32" s="3" t="s">
        <v>383</v>
      </c>
      <c r="B32" s="3" t="s">
        <v>331</v>
      </c>
      <c r="G32" s="3"/>
      <c r="H32" s="3"/>
      <c r="I32" s="3"/>
    </row>
    <row r="33" spans="1:9" x14ac:dyDescent="0.25">
      <c r="A33" s="3" t="s">
        <v>384</v>
      </c>
      <c r="B33" s="3" t="s">
        <v>332</v>
      </c>
      <c r="G33" s="3"/>
      <c r="H33" s="3"/>
      <c r="I33" s="3"/>
    </row>
    <row r="34" spans="1:9" x14ac:dyDescent="0.25">
      <c r="A34" s="3" t="s">
        <v>385</v>
      </c>
      <c r="B34" s="3" t="s">
        <v>333</v>
      </c>
      <c r="G34" s="3"/>
      <c r="H34" s="3"/>
      <c r="I34" s="3"/>
    </row>
    <row r="35" spans="1:9" x14ac:dyDescent="0.25">
      <c r="A35" s="3" t="s">
        <v>387</v>
      </c>
      <c r="B35" s="3" t="s">
        <v>332</v>
      </c>
      <c r="G35" s="3"/>
      <c r="H35" s="3"/>
      <c r="I35" s="3"/>
    </row>
    <row r="36" spans="1:9" x14ac:dyDescent="0.25">
      <c r="A36" s="3" t="s">
        <v>388</v>
      </c>
      <c r="B36" s="3" t="s">
        <v>332</v>
      </c>
      <c r="G36" s="3"/>
      <c r="H36" s="3"/>
      <c r="I36" s="3"/>
    </row>
    <row r="37" spans="1:9" x14ac:dyDescent="0.25">
      <c r="A37" s="3" t="s">
        <v>389</v>
      </c>
      <c r="B37" s="3" t="s">
        <v>334</v>
      </c>
      <c r="G37" s="3"/>
      <c r="H37" s="3"/>
      <c r="I37" s="3"/>
    </row>
    <row r="38" spans="1:9" x14ac:dyDescent="0.25">
      <c r="A38" s="3" t="s">
        <v>390</v>
      </c>
      <c r="B38" s="3" t="s">
        <v>113</v>
      </c>
      <c r="G38" s="3"/>
      <c r="H38" s="3"/>
      <c r="I38" s="3"/>
    </row>
    <row r="39" spans="1:9" x14ac:dyDescent="0.25">
      <c r="A39" s="3" t="s">
        <v>392</v>
      </c>
      <c r="B39" s="3" t="s">
        <v>335</v>
      </c>
      <c r="G39" s="3"/>
      <c r="H39" s="3"/>
      <c r="I39" s="3"/>
    </row>
    <row r="40" spans="1:9" x14ac:dyDescent="0.25">
      <c r="A40" s="3" t="s">
        <v>394</v>
      </c>
      <c r="B40" s="3" t="s">
        <v>327</v>
      </c>
      <c r="G40" s="3"/>
      <c r="H40" s="3"/>
      <c r="I40" s="3"/>
    </row>
    <row r="41" spans="1:9" x14ac:dyDescent="0.25">
      <c r="A41" s="3" t="s">
        <v>395</v>
      </c>
      <c r="B41" s="3" t="s">
        <v>69</v>
      </c>
      <c r="G41" s="3"/>
      <c r="H41" s="3"/>
      <c r="I41" s="3"/>
    </row>
    <row r="42" spans="1:9" x14ac:dyDescent="0.25">
      <c r="A42" s="3" t="s">
        <v>396</v>
      </c>
      <c r="B42" s="3" t="s">
        <v>206</v>
      </c>
      <c r="G42" s="3"/>
      <c r="H42" s="3"/>
      <c r="I42" s="3"/>
    </row>
    <row r="43" spans="1:9" x14ac:dyDescent="0.25">
      <c r="A43" s="3" t="s">
        <v>397</v>
      </c>
      <c r="B43" s="3" t="s">
        <v>336</v>
      </c>
      <c r="G43" s="3"/>
      <c r="H43" s="3"/>
      <c r="I43" s="3"/>
    </row>
    <row r="44" spans="1:9" x14ac:dyDescent="0.25">
      <c r="A44" s="3" t="s">
        <v>399</v>
      </c>
      <c r="B44" s="3" t="s">
        <v>83</v>
      </c>
      <c r="G44" s="3"/>
      <c r="H44" s="3"/>
      <c r="I44" s="3"/>
    </row>
    <row r="45" spans="1:9" x14ac:dyDescent="0.25">
      <c r="A45" s="3" t="s">
        <v>400</v>
      </c>
      <c r="B45" s="3" t="s">
        <v>88</v>
      </c>
      <c r="G45" s="3"/>
      <c r="H45" s="3"/>
      <c r="I45" s="3"/>
    </row>
    <row r="46" spans="1:9" x14ac:dyDescent="0.25">
      <c r="A46" s="3" t="s">
        <v>401</v>
      </c>
      <c r="B46" s="3" t="s">
        <v>332</v>
      </c>
      <c r="G46" s="3"/>
      <c r="H46" s="3"/>
      <c r="I46" s="3"/>
    </row>
    <row r="47" spans="1:9" x14ac:dyDescent="0.25">
      <c r="A47" s="3" t="s">
        <v>402</v>
      </c>
      <c r="B47" s="3" t="s">
        <v>322</v>
      </c>
      <c r="G47" s="3"/>
      <c r="H47" s="3"/>
      <c r="I47" s="3"/>
    </row>
    <row r="48" spans="1:9" x14ac:dyDescent="0.25">
      <c r="A48" s="3" t="s">
        <v>403</v>
      </c>
      <c r="B48" s="3" t="s">
        <v>212</v>
      </c>
      <c r="G48" s="3"/>
      <c r="H48" s="3"/>
      <c r="I48" s="3"/>
    </row>
    <row r="49" spans="1:9" x14ac:dyDescent="0.25">
      <c r="A49" s="3" t="s">
        <v>404</v>
      </c>
      <c r="B49" s="3" t="s">
        <v>215</v>
      </c>
      <c r="G49" s="3"/>
      <c r="H49" s="3"/>
      <c r="I49" s="3"/>
    </row>
    <row r="50" spans="1:9" x14ac:dyDescent="0.25">
      <c r="A50" s="3" t="s">
        <v>406</v>
      </c>
      <c r="B50" s="3" t="s">
        <v>286</v>
      </c>
      <c r="G50" s="3"/>
      <c r="H50" s="3"/>
      <c r="I50" s="3"/>
    </row>
    <row r="51" spans="1:9" x14ac:dyDescent="0.25">
      <c r="A51" s="3" t="s">
        <v>407</v>
      </c>
      <c r="B51" s="3" t="s">
        <v>137</v>
      </c>
      <c r="G51" s="3"/>
      <c r="H51" s="3"/>
      <c r="I51" s="3"/>
    </row>
    <row r="52" spans="1:9" x14ac:dyDescent="0.25">
      <c r="A52" s="3" t="s">
        <v>408</v>
      </c>
      <c r="B52" s="3" t="s">
        <v>333</v>
      </c>
      <c r="G52" s="3"/>
      <c r="H52" s="3"/>
      <c r="I52" s="3"/>
    </row>
    <row r="53" spans="1:9" x14ac:dyDescent="0.25">
      <c r="A53" s="3" t="s">
        <v>409</v>
      </c>
      <c r="B53" s="3" t="s">
        <v>322</v>
      </c>
      <c r="G53" s="3"/>
      <c r="H53" s="3"/>
      <c r="I53" s="3"/>
    </row>
    <row r="54" spans="1:9" x14ac:dyDescent="0.25">
      <c r="A54" s="3" t="s">
        <v>411</v>
      </c>
      <c r="B54" s="3" t="s">
        <v>333</v>
      </c>
      <c r="G54" s="3"/>
      <c r="H54" s="3"/>
      <c r="I54" s="3"/>
    </row>
    <row r="55" spans="1:9" x14ac:dyDescent="0.25">
      <c r="A55" s="3" t="s">
        <v>412</v>
      </c>
      <c r="B55" s="3" t="s">
        <v>251</v>
      </c>
      <c r="G55" s="3"/>
      <c r="H55" s="3"/>
      <c r="I55" s="3"/>
    </row>
    <row r="56" spans="1:9" x14ac:dyDescent="0.25">
      <c r="A56" s="3" t="s">
        <v>413</v>
      </c>
      <c r="B56" s="3" t="s">
        <v>75</v>
      </c>
    </row>
    <row r="57" spans="1:9" x14ac:dyDescent="0.25">
      <c r="A57" s="3" t="s">
        <v>414</v>
      </c>
      <c r="B57" s="3" t="s">
        <v>265</v>
      </c>
    </row>
    <row r="58" spans="1:9" x14ac:dyDescent="0.25">
      <c r="A58" s="3" t="s">
        <v>415</v>
      </c>
      <c r="B58" s="3" t="s">
        <v>338</v>
      </c>
    </row>
    <row r="59" spans="1:9" x14ac:dyDescent="0.25">
      <c r="A59" s="3" t="s">
        <v>416</v>
      </c>
      <c r="B59" s="3" t="s">
        <v>141</v>
      </c>
    </row>
    <row r="60" spans="1:9" x14ac:dyDescent="0.25">
      <c r="A60" s="3" t="s">
        <v>417</v>
      </c>
      <c r="B60" s="3" t="s">
        <v>265</v>
      </c>
    </row>
    <row r="61" spans="1:9" x14ac:dyDescent="0.25">
      <c r="A61" s="3" t="s">
        <v>418</v>
      </c>
      <c r="B61" s="3" t="s">
        <v>324</v>
      </c>
    </row>
    <row r="62" spans="1:9" x14ac:dyDescent="0.25">
      <c r="A62" s="3" t="s">
        <v>420</v>
      </c>
      <c r="B62" s="3" t="s">
        <v>226</v>
      </c>
    </row>
    <row r="63" spans="1:9" x14ac:dyDescent="0.25">
      <c r="A63" s="3" t="s">
        <v>422</v>
      </c>
      <c r="B63" s="3" t="s">
        <v>204</v>
      </c>
    </row>
    <row r="64" spans="1:9" x14ac:dyDescent="0.25">
      <c r="A64" s="3" t="s">
        <v>423</v>
      </c>
      <c r="B64" s="3" t="s">
        <v>327</v>
      </c>
    </row>
    <row r="65" spans="1:2" x14ac:dyDescent="0.25">
      <c r="A65" s="3" t="s">
        <v>424</v>
      </c>
      <c r="B65" s="3" t="s">
        <v>339</v>
      </c>
    </row>
    <row r="66" spans="1:2" x14ac:dyDescent="0.25">
      <c r="A66" s="3" t="s">
        <v>425</v>
      </c>
      <c r="B66" s="3" t="s">
        <v>340</v>
      </c>
    </row>
    <row r="67" spans="1:2" x14ac:dyDescent="0.25">
      <c r="A67" s="3" t="s">
        <v>426</v>
      </c>
      <c r="B67" s="3" t="s">
        <v>209</v>
      </c>
    </row>
    <row r="68" spans="1:2" x14ac:dyDescent="0.25">
      <c r="A68" s="3" t="s">
        <v>427</v>
      </c>
      <c r="B68" s="3" t="s">
        <v>341</v>
      </c>
    </row>
    <row r="69" spans="1:2" x14ac:dyDescent="0.25">
      <c r="A69" s="3" t="s">
        <v>428</v>
      </c>
      <c r="B69" s="3" t="s">
        <v>341</v>
      </c>
    </row>
    <row r="70" spans="1:2" x14ac:dyDescent="0.25">
      <c r="A70" s="3" t="s">
        <v>429</v>
      </c>
      <c r="B70" s="3" t="s">
        <v>341</v>
      </c>
    </row>
    <row r="71" spans="1:2" x14ac:dyDescent="0.25">
      <c r="A71" s="3" t="s">
        <v>430</v>
      </c>
      <c r="B71" s="3" t="s">
        <v>341</v>
      </c>
    </row>
    <row r="72" spans="1:2" x14ac:dyDescent="0.25">
      <c r="A72" s="3" t="s">
        <v>431</v>
      </c>
      <c r="B72" s="3" t="s">
        <v>341</v>
      </c>
    </row>
    <row r="73" spans="1:2" x14ac:dyDescent="0.25">
      <c r="A73" s="3" t="s">
        <v>432</v>
      </c>
      <c r="B73" s="3" t="s">
        <v>122</v>
      </c>
    </row>
    <row r="74" spans="1:2" x14ac:dyDescent="0.25">
      <c r="A74" s="3" t="s">
        <v>433</v>
      </c>
      <c r="B74" s="3" t="s">
        <v>265</v>
      </c>
    </row>
    <row r="75" spans="1:2" x14ac:dyDescent="0.25">
      <c r="A75" s="3" t="s">
        <v>434</v>
      </c>
      <c r="B75" s="3" t="s">
        <v>268</v>
      </c>
    </row>
    <row r="76" spans="1:2" x14ac:dyDescent="0.25">
      <c r="A76" s="3" t="s">
        <v>435</v>
      </c>
      <c r="B76" s="3" t="s">
        <v>268</v>
      </c>
    </row>
    <row r="77" spans="1:2" x14ac:dyDescent="0.25">
      <c r="A77" s="3" t="s">
        <v>436</v>
      </c>
      <c r="B77" s="3" t="s">
        <v>268</v>
      </c>
    </row>
    <row r="78" spans="1:2" x14ac:dyDescent="0.25">
      <c r="A78" s="3" t="s">
        <v>437</v>
      </c>
      <c r="B78" s="3" t="s">
        <v>201</v>
      </c>
    </row>
    <row r="79" spans="1:2" x14ac:dyDescent="0.25">
      <c r="A79" s="3" t="s">
        <v>438</v>
      </c>
      <c r="B79" s="3" t="s">
        <v>212</v>
      </c>
    </row>
    <row r="80" spans="1:2" x14ac:dyDescent="0.25">
      <c r="A80" s="3" t="s">
        <v>439</v>
      </c>
      <c r="B80" s="3" t="s">
        <v>201</v>
      </c>
    </row>
    <row r="81" spans="1:2" x14ac:dyDescent="0.25">
      <c r="A81" s="3" t="s">
        <v>440</v>
      </c>
      <c r="B81" s="3" t="s">
        <v>52</v>
      </c>
    </row>
    <row r="82" spans="1:2" x14ac:dyDescent="0.25">
      <c r="A82" s="3" t="s">
        <v>442</v>
      </c>
      <c r="B82" s="3" t="s">
        <v>151</v>
      </c>
    </row>
    <row r="83" spans="1:2" x14ac:dyDescent="0.25">
      <c r="A83" s="3" t="s">
        <v>443</v>
      </c>
      <c r="B83" s="3" t="s">
        <v>342</v>
      </c>
    </row>
    <row r="84" spans="1:2" x14ac:dyDescent="0.25">
      <c r="A84" s="3" t="s">
        <v>444</v>
      </c>
      <c r="B84" s="3" t="s">
        <v>341</v>
      </c>
    </row>
    <row r="85" spans="1:2" x14ac:dyDescent="0.25">
      <c r="A85" s="3" t="s">
        <v>445</v>
      </c>
      <c r="B85" s="3" t="s">
        <v>193</v>
      </c>
    </row>
    <row r="86" spans="1:2" x14ac:dyDescent="0.25">
      <c r="A86" s="3" t="s">
        <v>446</v>
      </c>
      <c r="B86" s="3" t="s">
        <v>358</v>
      </c>
    </row>
    <row r="87" spans="1:2" x14ac:dyDescent="0.25">
      <c r="A87" s="3" t="s">
        <v>447</v>
      </c>
      <c r="B87" s="3" t="s">
        <v>326</v>
      </c>
    </row>
    <row r="88" spans="1:2" x14ac:dyDescent="0.25">
      <c r="A88" s="3" t="s">
        <v>448</v>
      </c>
      <c r="B88" s="3" t="s">
        <v>284</v>
      </c>
    </row>
    <row r="89" spans="1:2" x14ac:dyDescent="0.25">
      <c r="A89" s="3" t="s">
        <v>449</v>
      </c>
      <c r="B89" s="3" t="s">
        <v>94</v>
      </c>
    </row>
    <row r="90" spans="1:2" x14ac:dyDescent="0.25">
      <c r="A90" s="3" t="s">
        <v>450</v>
      </c>
      <c r="B90" s="3" t="s">
        <v>212</v>
      </c>
    </row>
    <row r="91" spans="1:2" x14ac:dyDescent="0.25">
      <c r="A91" s="3" t="s">
        <v>451</v>
      </c>
      <c r="B91" s="3" t="s">
        <v>359</v>
      </c>
    </row>
    <row r="92" spans="1:2" x14ac:dyDescent="0.25">
      <c r="A92" s="3" t="s">
        <v>452</v>
      </c>
      <c r="B92" s="3" t="s">
        <v>343</v>
      </c>
    </row>
    <row r="93" spans="1:2" x14ac:dyDescent="0.25">
      <c r="A93" s="3" t="s">
        <v>113</v>
      </c>
      <c r="B93" s="3" t="s">
        <v>113</v>
      </c>
    </row>
    <row r="94" spans="1:2" x14ac:dyDescent="0.25">
      <c r="A94" s="3" t="s">
        <v>454</v>
      </c>
      <c r="B94" s="3" t="s">
        <v>360</v>
      </c>
    </row>
    <row r="95" spans="1:2" x14ac:dyDescent="0.25">
      <c r="A95" s="3" t="s">
        <v>587</v>
      </c>
      <c r="B95" s="3" t="s">
        <v>198</v>
      </c>
    </row>
    <row r="96" spans="1:2" x14ac:dyDescent="0.25">
      <c r="A96" s="3" t="s">
        <v>588</v>
      </c>
      <c r="B96" s="3" t="s">
        <v>163</v>
      </c>
    </row>
    <row r="97" spans="1:2" x14ac:dyDescent="0.25">
      <c r="A97" s="3" t="s">
        <v>593</v>
      </c>
      <c r="B97" s="3" t="s">
        <v>559</v>
      </c>
    </row>
    <row r="98" spans="1:2" x14ac:dyDescent="0.25">
      <c r="A98" s="3" t="s">
        <v>586</v>
      </c>
      <c r="B98" s="3" t="s">
        <v>160</v>
      </c>
    </row>
  </sheetData>
  <conditionalFormatting sqref="B38:B82 B2:B36">
    <cfRule type="duplicateValues" dxfId="1" priority="1"/>
  </conditionalFormatting>
  <conditionalFormatting sqref="A2:A98">
    <cfRule type="duplicateValues" dxfId="0" priority="39"/>
  </conditionalFormatting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7C2BC-90B8-4C80-AD7A-A4D3FF3FA8F1}">
  <sheetPr codeName="Sheet1"/>
  <dimension ref="A1:E206"/>
  <sheetViews>
    <sheetView workbookViewId="0">
      <selection activeCell="B2" sqref="B2"/>
    </sheetView>
  </sheetViews>
  <sheetFormatPr defaultRowHeight="15" x14ac:dyDescent="0.25"/>
  <cols>
    <col min="1" max="1" width="31.85546875" bestFit="1" customWidth="1"/>
    <col min="2" max="2" width="25.85546875" bestFit="1" customWidth="1"/>
    <col min="5" max="5" width="15.5703125" bestFit="1" customWidth="1"/>
    <col min="6" max="6" width="23.42578125" bestFit="1" customWidth="1"/>
    <col min="7" max="7" width="25.8554687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t="s">
        <v>3</v>
      </c>
    </row>
    <row r="3" spans="1:2" x14ac:dyDescent="0.25">
      <c r="A3" t="s">
        <v>4</v>
      </c>
      <c r="B3" t="s">
        <v>1</v>
      </c>
    </row>
    <row r="4" spans="1:2" x14ac:dyDescent="0.25">
      <c r="A4" t="s">
        <v>5</v>
      </c>
      <c r="B4" t="s">
        <v>1</v>
      </c>
    </row>
    <row r="5" spans="1:2" x14ac:dyDescent="0.25">
      <c r="A5" t="s">
        <v>6</v>
      </c>
      <c r="B5" t="s">
        <v>3</v>
      </c>
    </row>
    <row r="6" spans="1:2" x14ac:dyDescent="0.25">
      <c r="A6" t="s">
        <v>7</v>
      </c>
      <c r="B6" t="s">
        <v>8</v>
      </c>
    </row>
    <row r="7" spans="1:2" x14ac:dyDescent="0.25">
      <c r="A7" t="s">
        <v>9</v>
      </c>
      <c r="B7" t="s">
        <v>1</v>
      </c>
    </row>
    <row r="8" spans="1:2" x14ac:dyDescent="0.25">
      <c r="A8" t="s">
        <v>10</v>
      </c>
      <c r="B8" t="s">
        <v>3</v>
      </c>
    </row>
    <row r="9" spans="1:2" x14ac:dyDescent="0.25">
      <c r="A9" t="s">
        <v>11</v>
      </c>
      <c r="B9" t="s">
        <v>1</v>
      </c>
    </row>
    <row r="10" spans="1:2" x14ac:dyDescent="0.25">
      <c r="A10" t="s">
        <v>12</v>
      </c>
      <c r="B10" t="s">
        <v>1</v>
      </c>
    </row>
    <row r="11" spans="1:2" x14ac:dyDescent="0.25">
      <c r="A11" t="s">
        <v>13</v>
      </c>
      <c r="B11" t="s">
        <v>3</v>
      </c>
    </row>
    <row r="12" spans="1:2" x14ac:dyDescent="0.25">
      <c r="A12" t="s">
        <v>14</v>
      </c>
      <c r="B12" t="s">
        <v>15</v>
      </c>
    </row>
    <row r="13" spans="1:2" x14ac:dyDescent="0.25">
      <c r="A13" t="s">
        <v>16</v>
      </c>
      <c r="B13" t="s">
        <v>1</v>
      </c>
    </row>
    <row r="14" spans="1:2" x14ac:dyDescent="0.25">
      <c r="A14" t="s">
        <v>17</v>
      </c>
      <c r="B14" t="s">
        <v>3</v>
      </c>
    </row>
    <row r="15" spans="1:2" x14ac:dyDescent="0.25">
      <c r="A15" t="s">
        <v>18</v>
      </c>
      <c r="B15" t="s">
        <v>3</v>
      </c>
    </row>
    <row r="16" spans="1:2" x14ac:dyDescent="0.25">
      <c r="A16" t="s">
        <v>19</v>
      </c>
      <c r="B16" t="s">
        <v>3</v>
      </c>
    </row>
    <row r="17" spans="1:2" x14ac:dyDescent="0.25">
      <c r="A17" t="s">
        <v>20</v>
      </c>
      <c r="B17" t="s">
        <v>3</v>
      </c>
    </row>
    <row r="18" spans="1:2" x14ac:dyDescent="0.25">
      <c r="A18" t="s">
        <v>21</v>
      </c>
      <c r="B18" t="s">
        <v>3</v>
      </c>
    </row>
    <row r="19" spans="1:2" x14ac:dyDescent="0.25">
      <c r="A19" t="s">
        <v>22</v>
      </c>
      <c r="B19" t="s">
        <v>1</v>
      </c>
    </row>
    <row r="20" spans="1:2" x14ac:dyDescent="0.25">
      <c r="A20" t="s">
        <v>23</v>
      </c>
      <c r="B20" t="s">
        <v>3</v>
      </c>
    </row>
    <row r="21" spans="1:2" x14ac:dyDescent="0.25">
      <c r="A21" t="s">
        <v>24</v>
      </c>
      <c r="B21" t="s">
        <v>3</v>
      </c>
    </row>
    <row r="22" spans="1:2" x14ac:dyDescent="0.25">
      <c r="A22" t="s">
        <v>25</v>
      </c>
      <c r="B22" t="s">
        <v>3</v>
      </c>
    </row>
    <row r="23" spans="1:2" x14ac:dyDescent="0.25">
      <c r="A23" t="s">
        <v>26</v>
      </c>
      <c r="B23" t="s">
        <v>3</v>
      </c>
    </row>
    <row r="24" spans="1:2" x14ac:dyDescent="0.25">
      <c r="A24" t="s">
        <v>27</v>
      </c>
      <c r="B24" t="s">
        <v>1</v>
      </c>
    </row>
    <row r="206" spans="5:5" x14ac:dyDescent="0.25">
      <c r="E206" t="s">
        <v>16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A961A-9A55-4509-ABA0-927450ED667C}">
  <sheetPr codeName="Sheet4"/>
  <dimension ref="A3:B28"/>
  <sheetViews>
    <sheetView workbookViewId="0">
      <selection activeCell="A5" sqref="A5"/>
    </sheetView>
  </sheetViews>
  <sheetFormatPr defaultRowHeight="15" x14ac:dyDescent="0.25"/>
  <cols>
    <col min="1" max="1" width="35.5703125" bestFit="1" customWidth="1"/>
    <col min="2" max="2" width="31.85546875" bestFit="1" customWidth="1"/>
  </cols>
  <sheetData>
    <row r="3" spans="1:2" x14ac:dyDescent="0.25">
      <c r="A3" s="1" t="s">
        <v>28</v>
      </c>
      <c r="B3" s="1" t="s">
        <v>29</v>
      </c>
    </row>
    <row r="4" spans="1:2" x14ac:dyDescent="0.25">
      <c r="A4" t="s">
        <v>8</v>
      </c>
      <c r="B4" t="s">
        <v>7</v>
      </c>
    </row>
    <row r="5" spans="1:2" x14ac:dyDescent="0.25">
      <c r="A5" t="s">
        <v>15</v>
      </c>
      <c r="B5" t="s">
        <v>14</v>
      </c>
    </row>
    <row r="6" spans="1:2" x14ac:dyDescent="0.25">
      <c r="A6" t="s">
        <v>1</v>
      </c>
      <c r="B6" t="s">
        <v>16</v>
      </c>
    </row>
    <row r="7" spans="1:2" x14ac:dyDescent="0.25">
      <c r="B7" t="s">
        <v>0</v>
      </c>
    </row>
    <row r="8" spans="1:2" x14ac:dyDescent="0.25">
      <c r="B8" t="s">
        <v>27</v>
      </c>
    </row>
    <row r="9" spans="1:2" x14ac:dyDescent="0.25">
      <c r="B9" t="s">
        <v>4</v>
      </c>
    </row>
    <row r="10" spans="1:2" x14ac:dyDescent="0.25">
      <c r="B10" t="s">
        <v>9</v>
      </c>
    </row>
    <row r="11" spans="1:2" x14ac:dyDescent="0.25">
      <c r="B11" t="s">
        <v>22</v>
      </c>
    </row>
    <row r="12" spans="1:2" x14ac:dyDescent="0.25">
      <c r="B12" t="s">
        <v>12</v>
      </c>
    </row>
    <row r="13" spans="1:2" x14ac:dyDescent="0.25">
      <c r="B13" t="s">
        <v>11</v>
      </c>
    </row>
    <row r="14" spans="1:2" x14ac:dyDescent="0.25">
      <c r="B14" t="s">
        <v>5</v>
      </c>
    </row>
    <row r="15" spans="1:2" x14ac:dyDescent="0.25">
      <c r="A15" t="s">
        <v>3</v>
      </c>
      <c r="B15" t="s">
        <v>24</v>
      </c>
    </row>
    <row r="16" spans="1:2" x14ac:dyDescent="0.25">
      <c r="B16" t="s">
        <v>2</v>
      </c>
    </row>
    <row r="17" spans="1:2" x14ac:dyDescent="0.25">
      <c r="B17" t="s">
        <v>17</v>
      </c>
    </row>
    <row r="18" spans="1:2" x14ac:dyDescent="0.25">
      <c r="B18" t="s">
        <v>18</v>
      </c>
    </row>
    <row r="19" spans="1:2" x14ac:dyDescent="0.25">
      <c r="B19" t="s">
        <v>6</v>
      </c>
    </row>
    <row r="20" spans="1:2" x14ac:dyDescent="0.25">
      <c r="B20" t="s">
        <v>19</v>
      </c>
    </row>
    <row r="21" spans="1:2" x14ac:dyDescent="0.25">
      <c r="B21" t="s">
        <v>20</v>
      </c>
    </row>
    <row r="22" spans="1:2" x14ac:dyDescent="0.25">
      <c r="B22" t="s">
        <v>13</v>
      </c>
    </row>
    <row r="23" spans="1:2" x14ac:dyDescent="0.25">
      <c r="B23" t="s">
        <v>25</v>
      </c>
    </row>
    <row r="24" spans="1:2" x14ac:dyDescent="0.25">
      <c r="B24" t="s">
        <v>21</v>
      </c>
    </row>
    <row r="25" spans="1:2" x14ac:dyDescent="0.25">
      <c r="B25" t="s">
        <v>10</v>
      </c>
    </row>
    <row r="26" spans="1:2" x14ac:dyDescent="0.25">
      <c r="B26" t="s">
        <v>26</v>
      </c>
    </row>
    <row r="27" spans="1:2" x14ac:dyDescent="0.25">
      <c r="B27" t="s">
        <v>23</v>
      </c>
    </row>
    <row r="28" spans="1:2" x14ac:dyDescent="0.25">
      <c r="A28" t="s">
        <v>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1DF8E-DA20-41FF-A1B8-231E87B3539A}">
  <sheetPr codeName="Sheet6"/>
  <dimension ref="A1:A275"/>
  <sheetViews>
    <sheetView workbookViewId="0">
      <selection activeCell="G10" sqref="G10"/>
    </sheetView>
  </sheetViews>
  <sheetFormatPr defaultRowHeight="15" x14ac:dyDescent="0.25"/>
  <cols>
    <col min="1" max="1" width="54.85546875" style="3" bestFit="1" customWidth="1"/>
  </cols>
  <sheetData>
    <row r="1" spans="1:1" x14ac:dyDescent="0.25">
      <c r="A1" s="3" t="s">
        <v>492</v>
      </c>
    </row>
    <row r="2" spans="1:1" x14ac:dyDescent="0.25">
      <c r="A2" s="3" t="s">
        <v>455</v>
      </c>
    </row>
    <row r="3" spans="1:1" x14ac:dyDescent="0.25">
      <c r="A3" s="3" t="s">
        <v>456</v>
      </c>
    </row>
    <row r="4" spans="1:1" x14ac:dyDescent="0.25">
      <c r="A4" s="3" t="s">
        <v>457</v>
      </c>
    </row>
    <row r="5" spans="1:1" x14ac:dyDescent="0.25">
      <c r="A5" s="3" t="s">
        <v>458</v>
      </c>
    </row>
    <row r="6" spans="1:1" x14ac:dyDescent="0.25">
      <c r="A6" s="3" t="s">
        <v>459</v>
      </c>
    </row>
    <row r="7" spans="1:1" x14ac:dyDescent="0.25">
      <c r="A7" s="3" t="s">
        <v>460</v>
      </c>
    </row>
    <row r="8" spans="1:1" x14ac:dyDescent="0.25">
      <c r="A8" s="3" t="s">
        <v>461</v>
      </c>
    </row>
    <row r="9" spans="1:1" x14ac:dyDescent="0.25">
      <c r="A9" s="3" t="s">
        <v>462</v>
      </c>
    </row>
    <row r="10" spans="1:1" x14ac:dyDescent="0.25">
      <c r="A10" s="3" t="s">
        <v>463</v>
      </c>
    </row>
    <row r="11" spans="1:1" x14ac:dyDescent="0.25">
      <c r="A11" s="3" t="s">
        <v>464</v>
      </c>
    </row>
    <row r="12" spans="1:1" x14ac:dyDescent="0.25">
      <c r="A12" s="3" t="s">
        <v>465</v>
      </c>
    </row>
    <row r="13" spans="1:1" x14ac:dyDescent="0.25">
      <c r="A13" s="3" t="s">
        <v>466</v>
      </c>
    </row>
    <row r="14" spans="1:1" x14ac:dyDescent="0.25">
      <c r="A14" s="3" t="s">
        <v>467</v>
      </c>
    </row>
    <row r="15" spans="1:1" x14ac:dyDescent="0.25">
      <c r="A15" s="3" t="s">
        <v>468</v>
      </c>
    </row>
    <row r="16" spans="1:1" x14ac:dyDescent="0.25">
      <c r="A16" s="3" t="s">
        <v>469</v>
      </c>
    </row>
    <row r="17" spans="1:1" x14ac:dyDescent="0.25">
      <c r="A17" s="3" t="s">
        <v>470</v>
      </c>
    </row>
    <row r="18" spans="1:1" x14ac:dyDescent="0.25">
      <c r="A18" s="3" t="s">
        <v>471</v>
      </c>
    </row>
    <row r="19" spans="1:1" x14ac:dyDescent="0.25">
      <c r="A19" s="3" t="s">
        <v>472</v>
      </c>
    </row>
    <row r="20" spans="1:1" x14ac:dyDescent="0.25">
      <c r="A20" s="3" t="s">
        <v>473</v>
      </c>
    </row>
    <row r="21" spans="1:1" x14ac:dyDescent="0.25">
      <c r="A21" s="3" t="s">
        <v>385</v>
      </c>
    </row>
    <row r="22" spans="1:1" x14ac:dyDescent="0.25">
      <c r="A22" s="3" t="s">
        <v>474</v>
      </c>
    </row>
    <row r="23" spans="1:1" x14ac:dyDescent="0.25">
      <c r="A23" s="3" t="s">
        <v>475</v>
      </c>
    </row>
    <row r="24" spans="1:1" x14ac:dyDescent="0.25">
      <c r="A24" s="3" t="s">
        <v>476</v>
      </c>
    </row>
    <row r="25" spans="1:1" x14ac:dyDescent="0.25">
      <c r="A25" s="3" t="s">
        <v>393</v>
      </c>
    </row>
    <row r="26" spans="1:1" x14ac:dyDescent="0.25">
      <c r="A26" s="3" t="s">
        <v>477</v>
      </c>
    </row>
    <row r="27" spans="1:1" x14ac:dyDescent="0.25">
      <c r="A27" s="3" t="s">
        <v>478</v>
      </c>
    </row>
    <row r="28" spans="1:1" x14ac:dyDescent="0.25">
      <c r="A28" s="3" t="s">
        <v>479</v>
      </c>
    </row>
    <row r="29" spans="1:1" x14ac:dyDescent="0.25">
      <c r="A29" s="3" t="s">
        <v>480</v>
      </c>
    </row>
    <row r="30" spans="1:1" x14ac:dyDescent="0.25">
      <c r="A30" s="3" t="s">
        <v>481</v>
      </c>
    </row>
    <row r="31" spans="1:1" x14ac:dyDescent="0.25">
      <c r="A31" s="3" t="s">
        <v>482</v>
      </c>
    </row>
    <row r="32" spans="1:1" x14ac:dyDescent="0.25">
      <c r="A32" s="3" t="s">
        <v>483</v>
      </c>
    </row>
    <row r="33" spans="1:1" x14ac:dyDescent="0.25">
      <c r="A33" s="3" t="s">
        <v>484</v>
      </c>
    </row>
    <row r="34" spans="1:1" x14ac:dyDescent="0.25">
      <c r="A34" s="3" t="s">
        <v>485</v>
      </c>
    </row>
    <row r="35" spans="1:1" x14ac:dyDescent="0.25">
      <c r="A35" s="3" t="s">
        <v>486</v>
      </c>
    </row>
    <row r="36" spans="1:1" x14ac:dyDescent="0.25">
      <c r="A36" s="3" t="s">
        <v>487</v>
      </c>
    </row>
    <row r="37" spans="1:1" x14ac:dyDescent="0.25">
      <c r="A37" s="3" t="s">
        <v>488</v>
      </c>
    </row>
    <row r="38" spans="1:1" x14ac:dyDescent="0.25">
      <c r="A38" s="3" t="s">
        <v>489</v>
      </c>
    </row>
    <row r="39" spans="1:1" x14ac:dyDescent="0.25">
      <c r="A39" s="3" t="s">
        <v>490</v>
      </c>
    </row>
    <row r="40" spans="1:1" x14ac:dyDescent="0.25">
      <c r="A40" s="3" t="s">
        <v>491</v>
      </c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spans="1:1" x14ac:dyDescent="0.25">
      <c r="A273"/>
    </row>
    <row r="274" spans="1:1" x14ac:dyDescent="0.25">
      <c r="A274"/>
    </row>
    <row r="275" spans="1:1" x14ac:dyDescent="0.25">
      <c r="A275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Master Data Oricale</vt:lpstr>
      <vt:lpstr>For Planned</vt:lpstr>
      <vt:lpstr>Interface</vt:lpstr>
      <vt:lpstr>For Collection</vt:lpstr>
      <vt:lpstr>General Categroization</vt:lpstr>
      <vt:lpstr>Summary</vt:lpstr>
      <vt:lpstr>Clients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 Gaballah</dc:creator>
  <cp:lastModifiedBy>Mohamed Gaballah</cp:lastModifiedBy>
  <dcterms:created xsi:type="dcterms:W3CDTF">2023-05-30T07:00:15Z</dcterms:created>
  <dcterms:modified xsi:type="dcterms:W3CDTF">2023-08-21T12:09:17Z</dcterms:modified>
</cp:coreProperties>
</file>